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AI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tickers" sheetId="3" state="visible" r:id="rId3"/>
    <sheet xmlns:r="http://schemas.openxmlformats.org/officeDocument/2006/relationships" name="bench" sheetId="4" state="visible" r:id="rId4"/>
    <sheet xmlns:r="http://schemas.openxmlformats.org/officeDocument/2006/relationships" name="tr_pct_2025" sheetId="5" state="visible" r:id="rId5"/>
    <sheet xmlns:r="http://schemas.openxmlformats.org/officeDocument/2006/relationships" name="px_last_2025" sheetId="6" state="visible" r:id="rId6"/>
    <sheet xmlns:r="http://schemas.openxmlformats.org/officeDocument/2006/relationships" name="px_volume_2025" sheetId="7" state="visible" r:id="rId7"/>
    <sheet xmlns:r="http://schemas.openxmlformats.org/officeDocument/2006/relationships" name="static" sheetId="8" state="visible" r:id="rId8"/>
    <sheet xmlns:r="http://schemas.openxmlformats.org/officeDocument/2006/relationships" name="msci" sheetId="9" state="visible" r:id="rId9"/>
    <sheet xmlns:r="http://schemas.openxmlformats.org/officeDocument/2006/relationships" name="ftse" sheetId="10" state="visible" r:id="rId10"/>
    <sheet xmlns:r="http://schemas.openxmlformats.org/officeDocument/2006/relationships" name="universe" sheetId="11" state="visible" r:id="rId11"/>
    <sheet xmlns:r="http://schemas.openxmlformats.org/officeDocument/2006/relationships" name="ff_hist" sheetId="12" state="visible" r:id="rId12"/>
    <sheet xmlns:r="http://schemas.openxmlformats.org/officeDocument/2006/relationships" name="sh_hist" sheetId="13" state="visible" r:id="rId13"/>
    <sheet xmlns:r="http://schemas.openxmlformats.org/officeDocument/2006/relationships" name="kepemilikan_asing" sheetId="14" state="visible" r:id="rId14"/>
    <sheet xmlns:r="http://schemas.openxmlformats.org/officeDocument/2006/relationships" name="rating_bank" sheetId="15" state="visible" r:id="rId15"/>
    <sheet xmlns:r="http://schemas.openxmlformats.org/officeDocument/2006/relationships" name="total_aset" sheetId="16" state="visible" r:id="rId16"/>
    <sheet xmlns:r="http://schemas.openxmlformats.org/officeDocument/2006/relationships" name="total_deposito" sheetId="17" state="visible" r:id="rId17"/>
    <sheet xmlns:r="http://schemas.openxmlformats.org/officeDocument/2006/relationships" name="total_ekuitas" sheetId="18" state="visible" r:id="rId18"/>
    <sheet xmlns:r="http://schemas.openxmlformats.org/officeDocument/2006/relationships" name="tr_pct_2020" sheetId="19" state="visible" r:id="rId19"/>
    <sheet xmlns:r="http://schemas.openxmlformats.org/officeDocument/2006/relationships" name="px_last_2020" sheetId="20" state="visible" r:id="rId20"/>
    <sheet xmlns:r="http://schemas.openxmlformats.org/officeDocument/2006/relationships" name="px_volume_2020" sheetId="21" state="visible" r:id="rId21"/>
    <sheet xmlns:r="http://schemas.openxmlformats.org/officeDocument/2006/relationships" name="tr_pct_2015" sheetId="22" state="visible" r:id="rId22"/>
    <sheet xmlns:r="http://schemas.openxmlformats.org/officeDocument/2006/relationships" name="px_last_2015" sheetId="23" state="visible" r:id="rId23"/>
    <sheet xmlns:r="http://schemas.openxmlformats.org/officeDocument/2006/relationships" name="px_volume_2015" sheetId="24" state="visible" r:id="rId24"/>
  </sheets>
  <definedNames/>
  <calcPr calcId="124519" calcMode="manual" fullCalcOnLoad="0" calcOnSave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CARA PAKAI FILE INI</t>
        </is>
      </c>
    </row>
    <row r="2">
      <c r="A2" s="2" t="inlineStr"/>
    </row>
    <row r="3">
      <c r="A3" s="2" t="inlineStr">
        <is>
          <t>1. TES ADD-IN: ketik di sel D3 sheet ini:  =TR(".JKSE","TR.PriceClose")  lalu Enter. Harus keluar angka (harga IHSG).</t>
        </is>
      </c>
    </row>
    <row r="4">
      <c r="A4" s="2" t="inlineStr">
        <is>
          <t xml:space="preserve">   Kalau #NAME?, coba =RDP.Data(".JKSE","TR.PriceClose"). Kalau itu yang jalan: Ctrl+H, ganti semua '=TR(' menjadi '=RDP.Data(' (Within: Workbook).</t>
        </is>
      </c>
    </row>
    <row r="5">
      <c r="A5" s="2" t="inlineStr"/>
    </row>
    <row r="6">
      <c r="A6" s="2" t="inlineStr">
        <is>
          <t>2. CARA REFRESH SATU SHEET: klik tab sheet -&gt; menu Formulas -&gt; Calculate Sheet (atau Fn+Shift+F9).</t>
        </is>
      </c>
    </row>
    <row r="7">
      <c r="A7" s="2" t="inlineStr">
        <is>
          <t xml:space="preserve">   JANGAN klik 'Calculate Now' (menarik semua sheet sekaligus, Excel bisa macet). Tunggu sampai sel berhenti loading, lalu Ctrl+S.</t>
        </is>
      </c>
    </row>
    <row r="8">
      <c r="A8" s="2" t="inlineStr"/>
    </row>
    <row r="9">
      <c r="A9" s="2" t="inlineStr">
        <is>
          <t>3. (Opsional, 20 menit) Sheet config: isi RIC/field yang kosong; kalau sebuah deret gagal, coba isian kolom 'Alternatif jika kosong'.</t>
        </is>
      </c>
    </row>
    <row r="10">
      <c r="A10" s="2" t="inlineStr">
        <is>
          <t xml:space="preserve">   Kalau tidak ketemu, biarkan kosong - aman, nanti dilewati.</t>
        </is>
      </c>
    </row>
    <row r="11">
      <c r="A11" s="2" t="inlineStr"/>
    </row>
    <row r="12">
      <c r="A12" s="3" t="inlineStr">
        <is>
          <t>4. REFRESH SHEET SESUAI URUTAN INI (Save setiap selesai satu sheet):</t>
        </is>
      </c>
    </row>
    <row r="13">
      <c r="A13" s="3" t="inlineStr">
        <is>
          <t xml:space="preserve">   1. tickers   &lt;- P1, wajib untuk brief</t>
        </is>
      </c>
    </row>
    <row r="14">
      <c r="A14" s="3" t="inlineStr">
        <is>
          <t xml:space="preserve">   2. bench   &lt;- P1, wajib untuk brief</t>
        </is>
      </c>
    </row>
    <row r="15">
      <c r="A15" s="3" t="inlineStr">
        <is>
          <t xml:space="preserve">   3. tr_pct_2025   &lt;- P1, wajib untuk brief</t>
        </is>
      </c>
    </row>
    <row r="16">
      <c r="A16" s="3" t="inlineStr">
        <is>
          <t xml:space="preserve">   4. px_last_2025   &lt;- P1, wajib untuk brief</t>
        </is>
      </c>
    </row>
    <row r="17">
      <c r="A17" s="3" t="inlineStr">
        <is>
          <t xml:space="preserve">   5. px_volume_2025   &lt;- P1, wajib untuk brief</t>
        </is>
      </c>
    </row>
    <row r="18">
      <c r="A18" s="3" t="inlineStr">
        <is>
          <t xml:space="preserve">   6. static   &lt;- P1, wajib untuk brief</t>
        </is>
      </c>
    </row>
    <row r="19">
      <c r="A19" s="3" t="inlineStr">
        <is>
          <t xml:space="preserve">   7. msci   &lt;- P1, wajib untuk brief</t>
        </is>
      </c>
    </row>
    <row r="20">
      <c r="A20" s="2" t="inlineStr">
        <is>
          <t xml:space="preserve">   8. ftse</t>
        </is>
      </c>
    </row>
    <row r="21">
      <c r="A21" s="2" t="inlineStr">
        <is>
          <t xml:space="preserve">   9. universe</t>
        </is>
      </c>
    </row>
    <row r="22">
      <c r="A22" s="2" t="inlineStr">
        <is>
          <t xml:space="preserve">   10. ff_hist</t>
        </is>
      </c>
    </row>
    <row r="23">
      <c r="A23" s="2" t="inlineStr">
        <is>
          <t xml:space="preserve">   11. sh_hist</t>
        </is>
      </c>
    </row>
    <row r="24">
      <c r="A24" s="2" t="inlineStr">
        <is>
          <t xml:space="preserve">   12. kepemilikan_asing</t>
        </is>
      </c>
    </row>
    <row r="25">
      <c r="A25" s="2" t="inlineStr">
        <is>
          <t xml:space="preserve">   13. rating_bank</t>
        </is>
      </c>
    </row>
    <row r="26">
      <c r="A26" s="2" t="inlineStr">
        <is>
          <t xml:space="preserve">   14. total_aset</t>
        </is>
      </c>
    </row>
    <row r="27">
      <c r="A27" s="2" t="inlineStr">
        <is>
          <t xml:space="preserve">   15. total_deposito</t>
        </is>
      </c>
    </row>
    <row r="28">
      <c r="A28" s="2" t="inlineStr">
        <is>
          <t xml:space="preserve">   16. total_ekuitas</t>
        </is>
      </c>
    </row>
    <row r="29">
      <c r="A29" s="2" t="inlineStr">
        <is>
          <t xml:space="preserve">   17. tr_pct_2020</t>
        </is>
      </c>
    </row>
    <row r="30">
      <c r="A30" s="2" t="inlineStr">
        <is>
          <t xml:space="preserve">   18. px_last_2020</t>
        </is>
      </c>
    </row>
    <row r="31">
      <c r="A31" s="2" t="inlineStr">
        <is>
          <t xml:space="preserve">   19. px_volume_2020</t>
        </is>
      </c>
    </row>
    <row r="32">
      <c r="A32" s="2" t="inlineStr">
        <is>
          <t xml:space="preserve">   20. tr_pct_2015</t>
        </is>
      </c>
    </row>
    <row r="33">
      <c r="A33" s="2" t="inlineStr">
        <is>
          <t xml:space="preserve">   21. px_last_2015</t>
        </is>
      </c>
    </row>
    <row r="34">
      <c r="A34" s="2" t="inlineStr">
        <is>
          <t xml:space="preserve">   22. px_volume_2015</t>
        </is>
      </c>
    </row>
    <row r="35">
      <c r="A35" s="2" t="inlineStr"/>
    </row>
    <row r="36">
      <c r="A36" s="2" t="inlineStr">
        <is>
          <t xml:space="preserve">   Kalau sheet 'tickers' kosong setelah refresh: tempel daftar kode saham (format BBCA.JK) di kolom B mulai B2.</t>
        </is>
      </c>
    </row>
    <row r="37">
      <c r="A37" s="2" t="inlineStr">
        <is>
          <t xml:space="preserve">   Sheet saham 2020 dan 2015 paling berat; boleh dilanjutkan di kunjungan lain.</t>
        </is>
      </c>
    </row>
    <row r="38">
      <c r="A38" s="2" t="inlineStr"/>
    </row>
    <row r="39">
      <c r="A39" s="3" t="inlineStr">
        <is>
          <t>5. SELESAI: Save, bawa pulang lewat flashdisk / Google Drive (file besar), taruh di 10-riset-msci\data\mentah\data-refinitiv.xlsx</t>
        </is>
      </c>
    </row>
    <row r="40">
      <c r="A40" s="2" t="inlineStr">
        <is>
          <t xml:space="preserve">   Ada error yang aneh? Screenshot dan kirim ke Claude.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70" customWidth="1" min="4" max="4"/>
  </cols>
  <sheetData>
    <row r="1">
      <c r="A1" t="inlineStr">
        <is>
          <t>Mulai deret pasar</t>
        </is>
      </c>
      <c r="B1" t="inlineStr">
        <is>
          <t>2010-01-01</t>
        </is>
      </c>
    </row>
    <row r="2">
      <c r="A2" t="inlineStr">
        <is>
          <t>Akhir</t>
        </is>
      </c>
      <c r="B2" t="inlineStr">
        <is>
          <t>2026-12-31</t>
        </is>
      </c>
    </row>
    <row r="3">
      <c r="A3" t="inlineStr">
        <is>
          <t>RIC MSCI Indonesia</t>
        </is>
      </c>
      <c r="B3" t="inlineStr">
        <is>
          <t>.dMIID00000NUS</t>
        </is>
      </c>
    </row>
    <row r="4">
      <c r="A4" t="inlineStr">
        <is>
          <t>RIC FTSE Indonesia (isi dulu)</t>
        </is>
      </c>
      <c r="B4" t="inlineStr"/>
    </row>
    <row r="5">
      <c r="A5" t="inlineStr">
        <is>
          <t>Mulai data statis historis</t>
        </is>
      </c>
      <c r="B5" t="inlineStr">
        <is>
          <t>2015-01-01</t>
        </is>
      </c>
    </row>
    <row r="7">
      <c r="A7" t="inlineStr">
        <is>
          <t>Parameter deret pasar harian</t>
        </is>
      </c>
      <c r="B7">
        <f>"SDate="&amp;$B$1&amp;" EDate="&amp;$B$2&amp;" Frq=D CH=Fd RH=IN"</f>
        <v/>
      </c>
    </row>
    <row r="8">
      <c r="A8" t="inlineStr">
        <is>
          <t>Parameter statis kuartalan</t>
        </is>
      </c>
      <c r="B8">
        <f>"SDate="&amp;$B$5&amp;" EDate="&amp;$B$2&amp;" Frq=CQ CH=Fd RH=IN"</f>
        <v/>
      </c>
    </row>
    <row r="10">
      <c r="A10" t="inlineStr">
        <is>
          <t>Periode saham 2025</t>
        </is>
      </c>
      <c r="B10">
        <f>"SDate=2025-01-01 EDate=2026-12-31 Frq=D CH=Fd RH=IN"</f>
        <v/>
      </c>
    </row>
    <row r="11">
      <c r="A11" t="inlineStr">
        <is>
          <t>Periode saham 2020</t>
        </is>
      </c>
      <c r="B11">
        <f>"SDate=2020-01-01 EDate=2024-12-31 Frq=D CH=Fd RH=IN"</f>
        <v/>
      </c>
    </row>
    <row r="12">
      <c r="A12" t="inlineStr">
        <is>
          <t>Periode saham 2015</t>
        </is>
      </c>
      <c r="B12">
        <f>"SDate=2015-01-01 EDate=2019-12-31 Frq=D CH=Fd RH=IN"</f>
        <v/>
      </c>
    </row>
    <row r="19">
      <c r="A19" t="inlineStr">
        <is>
          <t>Deret pasar</t>
        </is>
      </c>
      <c r="B19" t="inlineStr">
        <is>
          <t>RIC (isi/cek)</t>
        </is>
      </c>
      <c r="C19" t="inlineStr">
        <is>
          <t>Field (ganti bila kosong)</t>
        </is>
      </c>
      <c r="D19" t="inlineStr">
        <is>
          <t>Alternatif jika kosong</t>
        </is>
      </c>
    </row>
    <row r="20">
      <c r="A20" t="inlineStr">
        <is>
          <t>JCI</t>
        </is>
      </c>
      <c r="B20" t="inlineStr">
        <is>
          <t>.JKSE</t>
        </is>
      </c>
      <c r="C20" t="inlineStr">
        <is>
          <t>TR.PriceClose</t>
        </is>
      </c>
      <c r="D20" t="inlineStr"/>
    </row>
    <row r="21">
      <c r="A21" t="inlineStr">
        <is>
          <t>MXEF</t>
        </is>
      </c>
      <c r="B21" t="inlineStr">
        <is>
          <t>.dMIEF00000NUS</t>
        </is>
      </c>
      <c r="C21" t="inlineStr">
        <is>
          <t>TR.PriceClose</t>
        </is>
      </c>
      <c r="D21" t="inlineStr">
        <is>
          <t>RIC .dMIEF00000PUS</t>
        </is>
      </c>
    </row>
    <row r="22">
      <c r="A22" t="inlineStr">
        <is>
          <t>SBN10Y</t>
        </is>
      </c>
      <c r="B22" t="inlineStr">
        <is>
          <t>ID10YT=RR</t>
        </is>
      </c>
      <c r="C22" t="inlineStr">
        <is>
          <t>TR.BidYield</t>
        </is>
      </c>
      <c r="D22" t="inlineStr">
        <is>
          <t>field TR.MidYield</t>
        </is>
      </c>
    </row>
    <row r="23">
      <c r="A23" t="inlineStr">
        <is>
          <t>USDIDR</t>
        </is>
      </c>
      <c r="B23" t="inlineStr">
        <is>
          <t>IDR=</t>
        </is>
      </c>
      <c r="C23" t="inlineStr">
        <is>
          <t>TR.MidPrice</t>
        </is>
      </c>
      <c r="D23" t="inlineStr">
        <is>
          <t>field TR.BidPrice</t>
        </is>
      </c>
    </row>
    <row r="24">
      <c r="A24" t="inlineStr">
        <is>
          <t>MXID</t>
        </is>
      </c>
      <c r="B24" t="inlineStr">
        <is>
          <t>.dMIID00000NUS</t>
        </is>
      </c>
      <c r="C24" t="inlineStr">
        <is>
          <t>TR.PriceClose</t>
        </is>
      </c>
      <c r="D24" t="inlineStr">
        <is>
          <t>RIC .dMIID00000PUS / .dMIID00000PID</t>
        </is>
      </c>
    </row>
    <row r="25">
      <c r="A25" t="inlineStr">
        <is>
          <t>CDS5Y</t>
        </is>
      </c>
      <c r="B25" t="inlineStr"/>
      <c r="C25" t="inlineStr">
        <is>
          <t>TR.MidSpread</t>
        </is>
      </c>
      <c r="D25" t="inlineStr">
        <is>
          <t>cari 'Indonesia CDS 5Y'; field TR.BidSpread / TR.PriceClose</t>
        </is>
      </c>
    </row>
    <row r="26">
      <c r="A26" t="inlineStr">
        <is>
          <t>VIX</t>
        </is>
      </c>
      <c r="B26" t="inlineStr">
        <is>
          <t>.VIX</t>
        </is>
      </c>
      <c r="C26" t="inlineStr">
        <is>
          <t>TR.PriceClose</t>
        </is>
      </c>
      <c r="D26" t="inlineStr"/>
    </row>
    <row r="27">
      <c r="A27" t="inlineStr">
        <is>
          <t>COAL</t>
        </is>
      </c>
      <c r="B27" t="inlineStr"/>
      <c r="C27" t="inlineStr">
        <is>
          <t>TR.PriceClose</t>
        </is>
      </c>
      <c r="D27" t="inlineStr">
        <is>
          <t>cari 'Newcastle coal futures'</t>
        </is>
      </c>
    </row>
    <row r="28">
      <c r="A28" t="inlineStr">
        <is>
          <t>CPO</t>
        </is>
      </c>
      <c r="B28" t="inlineStr"/>
      <c r="C28" t="inlineStr">
        <is>
          <t>TR.PriceClose</t>
        </is>
      </c>
      <c r="D28" t="inlineStr">
        <is>
          <t>cari 'Crude palm oil futures Bursa Malaysia'</t>
        </is>
      </c>
    </row>
    <row r="29">
      <c r="A29" t="inlineStr">
        <is>
          <t>NICKEL</t>
        </is>
      </c>
      <c r="B29" t="inlineStr"/>
      <c r="C29" t="inlineStr">
        <is>
          <t>TR.PriceClose</t>
        </is>
      </c>
      <c r="D29" t="inlineStr">
        <is>
          <t>cari 'LME nickel 3 month'</t>
        </is>
      </c>
    </row>
    <row r="30">
      <c r="A30" t="inlineStr">
        <is>
          <t>EQ_TH</t>
        </is>
      </c>
      <c r="B30" t="inlineStr">
        <is>
          <t>.SETI</t>
        </is>
      </c>
      <c r="C30" t="inlineStr">
        <is>
          <t>TR.PriceClose</t>
        </is>
      </c>
      <c r="D30" t="inlineStr"/>
    </row>
    <row r="31">
      <c r="A31" t="inlineStr">
        <is>
          <t>EQ_MY</t>
        </is>
      </c>
      <c r="B31" t="inlineStr">
        <is>
          <t>.KLSE</t>
        </is>
      </c>
      <c r="C31" t="inlineStr">
        <is>
          <t>TR.PriceClose</t>
        </is>
      </c>
      <c r="D31" t="inlineStr"/>
    </row>
    <row r="32">
      <c r="A32" t="inlineStr">
        <is>
          <t>EQ_PH</t>
        </is>
      </c>
      <c r="B32" t="inlineStr">
        <is>
          <t>.PSI</t>
        </is>
      </c>
      <c r="C32" t="inlineStr">
        <is>
          <t>TR.PriceClose</t>
        </is>
      </c>
      <c r="D32" t="inlineStr"/>
    </row>
    <row r="33">
      <c r="A33" t="inlineStr">
        <is>
          <t>EQ_IN</t>
        </is>
      </c>
      <c r="B33" t="inlineStr">
        <is>
          <t>.NSEI</t>
        </is>
      </c>
      <c r="C33" t="inlineStr">
        <is>
          <t>TR.PriceClose</t>
        </is>
      </c>
      <c r="D33" t="inlineStr"/>
    </row>
    <row r="34">
      <c r="A34" t="inlineStr">
        <is>
          <t>EQ_BR</t>
        </is>
      </c>
      <c r="B34" t="inlineStr">
        <is>
          <t>.BVSP</t>
        </is>
      </c>
      <c r="C34" t="inlineStr">
        <is>
          <t>TR.PriceClose</t>
        </is>
      </c>
      <c r="D34" t="inlineStr"/>
    </row>
    <row r="35">
      <c r="A35" t="inlineStr">
        <is>
          <t>EQ_MX</t>
        </is>
      </c>
      <c r="B35" t="inlineStr">
        <is>
          <t>.MXX</t>
        </is>
      </c>
      <c r="C35" t="inlineStr">
        <is>
          <t>TR.PriceClose</t>
        </is>
      </c>
      <c r="D35" t="inlineStr"/>
    </row>
    <row r="36">
      <c r="A36" t="inlineStr">
        <is>
          <t>EQ_TR</t>
        </is>
      </c>
      <c r="B36" t="inlineStr">
        <is>
          <t>.XU100</t>
        </is>
      </c>
      <c r="C36" t="inlineStr">
        <is>
          <t>TR.PriceClose</t>
        </is>
      </c>
      <c r="D36" t="inlineStr"/>
    </row>
    <row r="37">
      <c r="A37" t="inlineStr">
        <is>
          <t>EQ_ZA</t>
        </is>
      </c>
      <c r="B37" t="inlineStr">
        <is>
          <t>.JTOPI</t>
        </is>
      </c>
      <c r="C37" t="inlineStr">
        <is>
          <t>TR.PriceClose</t>
        </is>
      </c>
      <c r="D37" t="inlineStr"/>
    </row>
    <row r="38">
      <c r="A38" t="inlineStr">
        <is>
          <t>EQ_KR</t>
        </is>
      </c>
      <c r="B38" t="inlineStr">
        <is>
          <t>.KS11</t>
        </is>
      </c>
      <c r="C38" t="inlineStr">
        <is>
          <t>TR.PriceClose</t>
        </is>
      </c>
      <c r="D38" t="inlineStr"/>
    </row>
    <row r="39">
      <c r="A39" t="inlineStr">
        <is>
          <t>EQ_TW</t>
        </is>
      </c>
      <c r="B39" t="inlineStr">
        <is>
          <t>.TWII</t>
        </is>
      </c>
      <c r="C39" t="inlineStr">
        <is>
          <t>TR.PriceClose</t>
        </is>
      </c>
      <c r="D39" t="inlineStr"/>
    </row>
    <row r="40">
      <c r="A40" t="inlineStr">
        <is>
          <t>EQ_VN</t>
        </is>
      </c>
      <c r="B40" t="inlineStr">
        <is>
          <t>.VNI</t>
        </is>
      </c>
      <c r="C40" t="inlineStr">
        <is>
          <t>TR.PriceClose</t>
        </is>
      </c>
      <c r="D40" t="inlineStr"/>
    </row>
    <row r="41">
      <c r="A41" t="inlineStr">
        <is>
          <t>EQ_PL</t>
        </is>
      </c>
      <c r="B41" t="inlineStr">
        <is>
          <t>.WIG20</t>
        </is>
      </c>
      <c r="C41" t="inlineStr">
        <is>
          <t>TR.PriceClose</t>
        </is>
      </c>
      <c r="D41" t="inlineStr"/>
    </row>
    <row r="42">
      <c r="A42" t="inlineStr">
        <is>
          <t>EQ_CL</t>
        </is>
      </c>
      <c r="B42" t="inlineStr">
        <is>
          <t>.SPIPSA</t>
        </is>
      </c>
      <c r="C42" t="inlineStr">
        <is>
          <t>TR.PriceClose</t>
        </is>
      </c>
      <c r="D42" t="inlineStr"/>
    </row>
    <row r="43">
      <c r="A43" t="inlineStr">
        <is>
          <t>Y10_TH</t>
        </is>
      </c>
      <c r="B43" t="inlineStr">
        <is>
          <t>TH10YT=RR</t>
        </is>
      </c>
      <c r="C43" t="inlineStr">
        <is>
          <t>TR.BidYield</t>
        </is>
      </c>
      <c r="D43" t="inlineStr">
        <is>
          <t>field TR.MidYield</t>
        </is>
      </c>
    </row>
    <row r="44">
      <c r="A44" t="inlineStr">
        <is>
          <t>Y10_MY</t>
        </is>
      </c>
      <c r="B44" t="inlineStr">
        <is>
          <t>MY10YT=RR</t>
        </is>
      </c>
      <c r="C44" t="inlineStr">
        <is>
          <t>TR.BidYield</t>
        </is>
      </c>
      <c r="D44" t="inlineStr">
        <is>
          <t>field TR.MidYield</t>
        </is>
      </c>
    </row>
    <row r="45">
      <c r="A45" t="inlineStr">
        <is>
          <t>Y10_PH</t>
        </is>
      </c>
      <c r="B45" t="inlineStr">
        <is>
          <t>PH10YT=RR</t>
        </is>
      </c>
      <c r="C45" t="inlineStr">
        <is>
          <t>TR.BidYield</t>
        </is>
      </c>
      <c r="D45" t="inlineStr">
        <is>
          <t>field TR.MidYield</t>
        </is>
      </c>
    </row>
    <row r="46">
      <c r="A46" t="inlineStr">
        <is>
          <t>Y10_IN</t>
        </is>
      </c>
      <c r="B46" t="inlineStr">
        <is>
          <t>IN10YT=RR</t>
        </is>
      </c>
      <c r="C46" t="inlineStr">
        <is>
          <t>TR.BidYield</t>
        </is>
      </c>
      <c r="D46" t="inlineStr">
        <is>
          <t>field TR.MidYield</t>
        </is>
      </c>
    </row>
    <row r="47">
      <c r="A47" t="inlineStr">
        <is>
          <t>Y10_BR</t>
        </is>
      </c>
      <c r="B47" t="inlineStr">
        <is>
          <t>BR10YT=RR</t>
        </is>
      </c>
      <c r="C47" t="inlineStr">
        <is>
          <t>TR.BidYield</t>
        </is>
      </c>
      <c r="D47" t="inlineStr">
        <is>
          <t>field TR.MidYield</t>
        </is>
      </c>
    </row>
    <row r="48">
      <c r="A48" t="inlineStr">
        <is>
          <t>Y10_MX</t>
        </is>
      </c>
      <c r="B48" t="inlineStr">
        <is>
          <t>MX10YT=RR</t>
        </is>
      </c>
      <c r="C48" t="inlineStr">
        <is>
          <t>TR.BidYield</t>
        </is>
      </c>
      <c r="D48" t="inlineStr">
        <is>
          <t>field TR.MidYield</t>
        </is>
      </c>
    </row>
    <row r="49">
      <c r="A49" t="inlineStr">
        <is>
          <t>Y10_TR</t>
        </is>
      </c>
      <c r="B49" t="inlineStr">
        <is>
          <t>TR10YT=RR</t>
        </is>
      </c>
      <c r="C49" t="inlineStr">
        <is>
          <t>TR.BidYield</t>
        </is>
      </c>
      <c r="D49" t="inlineStr">
        <is>
          <t>field TR.MidYield</t>
        </is>
      </c>
    </row>
    <row r="50">
      <c r="A50" t="inlineStr">
        <is>
          <t>Y10_ZA</t>
        </is>
      </c>
      <c r="B50" t="inlineStr">
        <is>
          <t>ZA10YT=RR</t>
        </is>
      </c>
      <c r="C50" t="inlineStr">
        <is>
          <t>TR.BidYield</t>
        </is>
      </c>
      <c r="D50" t="inlineStr">
        <is>
          <t>field TR.MidYield</t>
        </is>
      </c>
    </row>
    <row r="51">
      <c r="A51" t="inlineStr">
        <is>
          <t>Y10_KR</t>
        </is>
      </c>
      <c r="B51" t="inlineStr">
        <is>
          <t>KR10YT=RR</t>
        </is>
      </c>
      <c r="C51" t="inlineStr">
        <is>
          <t>TR.BidYield</t>
        </is>
      </c>
      <c r="D51" t="inlineStr">
        <is>
          <t>field TR.MidYield</t>
        </is>
      </c>
    </row>
    <row r="52">
      <c r="A52" t="inlineStr">
        <is>
          <t>Y10_TW</t>
        </is>
      </c>
      <c r="B52" t="inlineStr">
        <is>
          <t>TW10YT=RR</t>
        </is>
      </c>
      <c r="C52" t="inlineStr">
        <is>
          <t>TR.BidYield</t>
        </is>
      </c>
      <c r="D52" t="inlineStr">
        <is>
          <t>field TR.MidYield</t>
        </is>
      </c>
    </row>
    <row r="53">
      <c r="A53" t="inlineStr">
        <is>
          <t>Y10_VN</t>
        </is>
      </c>
      <c r="B53" t="inlineStr">
        <is>
          <t>VN10YT=RR</t>
        </is>
      </c>
      <c r="C53" t="inlineStr">
        <is>
          <t>TR.BidYield</t>
        </is>
      </c>
      <c r="D53" t="inlineStr">
        <is>
          <t>field TR.MidYield</t>
        </is>
      </c>
    </row>
    <row r="54">
      <c r="A54" t="inlineStr">
        <is>
          <t>Y10_PL</t>
        </is>
      </c>
      <c r="B54" t="inlineStr">
        <is>
          <t>PL10YT=RR</t>
        </is>
      </c>
      <c r="C54" t="inlineStr">
        <is>
          <t>TR.BidYield</t>
        </is>
      </c>
      <c r="D54" t="inlineStr">
        <is>
          <t>field TR.MidYield</t>
        </is>
      </c>
    </row>
    <row r="55">
      <c r="A55" t="inlineStr">
        <is>
          <t>Y10_CL</t>
        </is>
      </c>
      <c r="B55" t="inlineStr">
        <is>
          <t>CL10YT=RR</t>
        </is>
      </c>
      <c r="C55" t="inlineStr">
        <is>
          <t>TR.BidYield</t>
        </is>
      </c>
      <c r="D55" t="inlineStr">
        <is>
          <t>field TR.MidYield</t>
        </is>
      </c>
    </row>
    <row r="56">
      <c r="A56" t="inlineStr">
        <is>
          <t>FX_TH</t>
        </is>
      </c>
      <c r="B56" t="inlineStr">
        <is>
          <t>THB=</t>
        </is>
      </c>
      <c r="C56" t="inlineStr">
        <is>
          <t>TR.MidPrice</t>
        </is>
      </c>
      <c r="D56" t="inlineStr">
        <is>
          <t>field TR.BidPrice</t>
        </is>
      </c>
    </row>
    <row r="57">
      <c r="A57" t="inlineStr">
        <is>
          <t>FX_MY</t>
        </is>
      </c>
      <c r="B57" t="inlineStr">
        <is>
          <t>MYR=</t>
        </is>
      </c>
      <c r="C57" t="inlineStr">
        <is>
          <t>TR.MidPrice</t>
        </is>
      </c>
      <c r="D57" t="inlineStr">
        <is>
          <t>field TR.BidPrice</t>
        </is>
      </c>
    </row>
    <row r="58">
      <c r="A58" t="inlineStr">
        <is>
          <t>FX_PH</t>
        </is>
      </c>
      <c r="B58" t="inlineStr">
        <is>
          <t>PHP=</t>
        </is>
      </c>
      <c r="C58" t="inlineStr">
        <is>
          <t>TR.MidPrice</t>
        </is>
      </c>
      <c r="D58" t="inlineStr">
        <is>
          <t>field TR.BidPrice</t>
        </is>
      </c>
    </row>
    <row r="59">
      <c r="A59" t="inlineStr">
        <is>
          <t>FX_IN</t>
        </is>
      </c>
      <c r="B59" t="inlineStr">
        <is>
          <t>INR=</t>
        </is>
      </c>
      <c r="C59" t="inlineStr">
        <is>
          <t>TR.MidPrice</t>
        </is>
      </c>
      <c r="D59" t="inlineStr">
        <is>
          <t>field TR.BidPrice</t>
        </is>
      </c>
    </row>
    <row r="60">
      <c r="A60" t="inlineStr">
        <is>
          <t>FX_BR</t>
        </is>
      </c>
      <c r="B60" t="inlineStr">
        <is>
          <t>BRL=</t>
        </is>
      </c>
      <c r="C60" t="inlineStr">
        <is>
          <t>TR.MidPrice</t>
        </is>
      </c>
      <c r="D60" t="inlineStr">
        <is>
          <t>field TR.BidPrice</t>
        </is>
      </c>
    </row>
    <row r="61">
      <c r="A61" t="inlineStr">
        <is>
          <t>FX_MX</t>
        </is>
      </c>
      <c r="B61" t="inlineStr">
        <is>
          <t>MXN=</t>
        </is>
      </c>
      <c r="C61" t="inlineStr">
        <is>
          <t>TR.MidPrice</t>
        </is>
      </c>
      <c r="D61" t="inlineStr">
        <is>
          <t>field TR.BidPrice</t>
        </is>
      </c>
    </row>
    <row r="62">
      <c r="A62" t="inlineStr">
        <is>
          <t>FX_TR</t>
        </is>
      </c>
      <c r="B62" t="inlineStr">
        <is>
          <t>TRY=</t>
        </is>
      </c>
      <c r="C62" t="inlineStr">
        <is>
          <t>TR.MidPrice</t>
        </is>
      </c>
      <c r="D62" t="inlineStr">
        <is>
          <t>field TR.BidPrice</t>
        </is>
      </c>
    </row>
    <row r="63">
      <c r="A63" t="inlineStr">
        <is>
          <t>FX_ZA</t>
        </is>
      </c>
      <c r="B63" t="inlineStr">
        <is>
          <t>ZAR=</t>
        </is>
      </c>
      <c r="C63" t="inlineStr">
        <is>
          <t>TR.MidPrice</t>
        </is>
      </c>
      <c r="D63" t="inlineStr">
        <is>
          <t>field TR.BidPrice</t>
        </is>
      </c>
    </row>
    <row r="64">
      <c r="A64" t="inlineStr">
        <is>
          <t>FX_KR</t>
        </is>
      </c>
      <c r="B64" t="inlineStr">
        <is>
          <t>KRW=</t>
        </is>
      </c>
      <c r="C64" t="inlineStr">
        <is>
          <t>TR.MidPrice</t>
        </is>
      </c>
      <c r="D64" t="inlineStr">
        <is>
          <t>field TR.BidPrice</t>
        </is>
      </c>
    </row>
    <row r="65">
      <c r="A65" t="inlineStr">
        <is>
          <t>FX_TW</t>
        </is>
      </c>
      <c r="B65" t="inlineStr">
        <is>
          <t>TWD=</t>
        </is>
      </c>
      <c r="C65" t="inlineStr">
        <is>
          <t>TR.MidPrice</t>
        </is>
      </c>
      <c r="D65" t="inlineStr">
        <is>
          <t>field TR.BidPrice</t>
        </is>
      </c>
    </row>
    <row r="66">
      <c r="A66" t="inlineStr">
        <is>
          <t>FX_VN</t>
        </is>
      </c>
      <c r="B66" t="inlineStr">
        <is>
          <t>VND=</t>
        </is>
      </c>
      <c r="C66" t="inlineStr">
        <is>
          <t>TR.MidPrice</t>
        </is>
      </c>
      <c r="D66" t="inlineStr">
        <is>
          <t>field TR.BidPrice</t>
        </is>
      </c>
    </row>
    <row r="67">
      <c r="A67" t="inlineStr">
        <is>
          <t>FX_PL</t>
        </is>
      </c>
      <c r="B67" t="inlineStr">
        <is>
          <t>PLN=</t>
        </is>
      </c>
      <c r="C67" t="inlineStr">
        <is>
          <t>TR.MidPrice</t>
        </is>
      </c>
      <c r="D67" t="inlineStr">
        <is>
          <t>field TR.BidPrice</t>
        </is>
      </c>
    </row>
    <row r="68">
      <c r="A68" t="inlineStr">
        <is>
          <t>FX_CL</t>
        </is>
      </c>
      <c r="B68" t="inlineStr">
        <is>
          <t>CLP=</t>
        </is>
      </c>
      <c r="C68" t="inlineStr">
        <is>
          <t>TR.MidPrice</t>
        </is>
      </c>
      <c r="D68" t="inlineStr">
        <is>
          <t>field TR.BidPrice</t>
        </is>
      </c>
    </row>
    <row r="69">
      <c r="A69" t="inlineStr">
        <is>
          <t>BANK_ID</t>
        </is>
      </c>
      <c r="B69" t="inlineStr"/>
      <c r="C69" t="inlineStr">
        <is>
          <t>TR.PriceClose</t>
        </is>
      </c>
      <c r="D69" t="inlineStr">
        <is>
          <t>cari 'IDX Sector Financials' atau 'MSCI Indonesia Financials'</t>
        </is>
      </c>
    </row>
    <row r="70">
      <c r="A70" t="inlineStr">
        <is>
          <t>BANK_EM</t>
        </is>
      </c>
      <c r="B70" t="inlineStr"/>
      <c r="C70" t="inlineStr">
        <is>
          <t>TR.PriceClose</t>
        </is>
      </c>
      <c r="D70" t="inlineStr">
        <is>
          <t>cari 'MSCI Emerging Markets Financials'</t>
        </is>
      </c>
    </row>
    <row r="71">
      <c r="A71" t="inlineStr">
        <is>
          <t>BANK_TH</t>
        </is>
      </c>
      <c r="B71" t="inlineStr">
        <is>
          <t>.SETBANK</t>
        </is>
      </c>
      <c r="C71" t="inlineStr">
        <is>
          <t>TR.PriceClose</t>
        </is>
      </c>
      <c r="D71" t="inlineStr">
        <is>
          <t>cari 'MSCI Thailand Financials' atau indeks bank lokal</t>
        </is>
      </c>
    </row>
    <row r="72">
      <c r="A72" t="inlineStr">
        <is>
          <t>BANK_MY</t>
        </is>
      </c>
      <c r="B72" t="inlineStr"/>
      <c r="C72" t="inlineStr">
        <is>
          <t>TR.PriceClose</t>
        </is>
      </c>
      <c r="D72" t="inlineStr">
        <is>
          <t>cari 'MSCI Malaysia Financials' atau indeks bank lokal</t>
        </is>
      </c>
    </row>
    <row r="73">
      <c r="A73" t="inlineStr">
        <is>
          <t>BANK_PH</t>
        </is>
      </c>
      <c r="B73" t="inlineStr"/>
      <c r="C73" t="inlineStr">
        <is>
          <t>TR.PriceClose</t>
        </is>
      </c>
      <c r="D73" t="inlineStr">
        <is>
          <t>cari 'MSCI Philippines Financials' atau indeks bank lokal</t>
        </is>
      </c>
    </row>
    <row r="74">
      <c r="A74" t="inlineStr">
        <is>
          <t>BANK_IN</t>
        </is>
      </c>
      <c r="B74" t="inlineStr">
        <is>
          <t>.NSEBANK</t>
        </is>
      </c>
      <c r="C74" t="inlineStr">
        <is>
          <t>TR.PriceClose</t>
        </is>
      </c>
      <c r="D74" t="inlineStr">
        <is>
          <t>cari 'MSCI India Financials' atau indeks bank lokal</t>
        </is>
      </c>
    </row>
    <row r="75">
      <c r="A75" t="inlineStr">
        <is>
          <t>BANK_BR</t>
        </is>
      </c>
      <c r="B75" t="inlineStr">
        <is>
          <t>.IFNC</t>
        </is>
      </c>
      <c r="C75" t="inlineStr">
        <is>
          <t>TR.PriceClose</t>
        </is>
      </c>
      <c r="D75" t="inlineStr">
        <is>
          <t>cari 'MSCI Brazil Financials' atau indeks bank lokal</t>
        </is>
      </c>
    </row>
    <row r="76">
      <c r="A76" t="inlineStr">
        <is>
          <t>BANK_MX</t>
        </is>
      </c>
      <c r="B76" t="inlineStr"/>
      <c r="C76" t="inlineStr">
        <is>
          <t>TR.PriceClose</t>
        </is>
      </c>
      <c r="D76" t="inlineStr">
        <is>
          <t>cari 'MSCI Mexico Financials' atau indeks bank lokal</t>
        </is>
      </c>
    </row>
    <row r="77">
      <c r="A77" t="inlineStr">
        <is>
          <t>BANK_TR</t>
        </is>
      </c>
      <c r="B77" t="inlineStr">
        <is>
          <t>.XBANK</t>
        </is>
      </c>
      <c r="C77" t="inlineStr">
        <is>
          <t>TR.PriceClose</t>
        </is>
      </c>
      <c r="D77" t="inlineStr">
        <is>
          <t>cari 'MSCI Turkey Financials' atau indeks bank lokal</t>
        </is>
      </c>
    </row>
    <row r="78">
      <c r="A78" t="inlineStr">
        <is>
          <t>BANK_ZA</t>
        </is>
      </c>
      <c r="B78" t="inlineStr"/>
      <c r="C78" t="inlineStr">
        <is>
          <t>TR.PriceClose</t>
        </is>
      </c>
      <c r="D78" t="inlineStr">
        <is>
          <t>cari 'MSCI South Africa Financials' atau indeks bank lokal</t>
        </is>
      </c>
    </row>
    <row r="79">
      <c r="A79" t="inlineStr">
        <is>
          <t>BANK_KR</t>
        </is>
      </c>
      <c r="B79" t="inlineStr"/>
      <c r="C79" t="inlineStr">
        <is>
          <t>TR.PriceClose</t>
        </is>
      </c>
      <c r="D79" t="inlineStr">
        <is>
          <t>cari 'MSCI Korea Financials' atau indeks bank lokal</t>
        </is>
      </c>
    </row>
    <row r="80">
      <c r="A80" t="inlineStr">
        <is>
          <t>BANK_TW</t>
        </is>
      </c>
      <c r="B80" t="inlineStr"/>
      <c r="C80" t="inlineStr">
        <is>
          <t>TR.PriceClose</t>
        </is>
      </c>
      <c r="D80" t="inlineStr">
        <is>
          <t>cari 'MSCI Taiwan Financials' atau indeks bank lokal</t>
        </is>
      </c>
    </row>
    <row r="81">
      <c r="A81" t="inlineStr">
        <is>
          <t>BANK_VN</t>
        </is>
      </c>
      <c r="B81" t="inlineStr"/>
      <c r="C81" t="inlineStr">
        <is>
          <t>TR.PriceClose</t>
        </is>
      </c>
      <c r="D81" t="inlineStr">
        <is>
          <t>cari 'MSCI Vietnam Financials' atau indeks bank lokal</t>
        </is>
      </c>
    </row>
    <row r="82">
      <c r="A82" t="inlineStr">
        <is>
          <t>BANK_PL</t>
        </is>
      </c>
      <c r="B82" t="inlineStr"/>
      <c r="C82" t="inlineStr">
        <is>
          <t>TR.PriceClose</t>
        </is>
      </c>
      <c r="D82" t="inlineStr">
        <is>
          <t>cari 'MSCI Poland Financials' atau indeks bank lokal</t>
        </is>
      </c>
    </row>
    <row r="83">
      <c r="A83" t="inlineStr">
        <is>
          <t>BANK_CL</t>
        </is>
      </c>
      <c r="B83" t="inlineStr"/>
      <c r="C83" t="inlineStr">
        <is>
          <t>TR.PriceClose</t>
        </is>
      </c>
      <c r="D83" t="inlineStr">
        <is>
          <t>cari 'MSCI Chile Financials' atau indeks bank lokal</t>
        </is>
      </c>
    </row>
    <row r="84">
      <c r="A84" t="inlineStr">
        <is>
          <t>ETF_EIDO_AUM</t>
        </is>
      </c>
      <c r="B84" t="inlineStr"/>
      <c r="C84" t="inlineStr"/>
      <c r="D84" t="inlineStr">
        <is>
          <t>cari ETF iShares MSCI Indonesia (EIDO); field total net assets</t>
        </is>
      </c>
    </row>
    <row r="85">
      <c r="A85" t="inlineStr">
        <is>
          <t>ETF_EEM_AUM</t>
        </is>
      </c>
      <c r="B85" t="inlineStr"/>
      <c r="C85" t="inlineStr"/>
      <c r="D85" t="inlineStr">
        <is>
          <t>cari ETF iShares MSCI Emerging Markets (EEM); field total net assets</t>
        </is>
      </c>
    </row>
    <row r="86">
      <c r="A86" t="inlineStr">
        <is>
          <t>ETF_VWO_AUM</t>
        </is>
      </c>
      <c r="B86" t="inlineStr"/>
      <c r="C86" t="inlineStr"/>
      <c r="D86" t="inlineStr">
        <is>
          <t>cari ETF Vanguard FTSE Emerging Markets (VWO); field total net assets</t>
        </is>
      </c>
    </row>
    <row r="87">
      <c r="A87" t="inlineStr">
        <is>
          <t>ETF_EMLC_AUM</t>
        </is>
      </c>
      <c r="B87" t="inlineStr"/>
      <c r="C87" t="inlineStr"/>
      <c r="D87" t="inlineStr">
        <is>
          <t>cari ETF VanEck J.P. Morgan EM Local Currency Bond (EMLC); total net assets</t>
        </is>
      </c>
    </row>
    <row r="88">
      <c r="A88" t="inlineStr">
        <is>
          <t>GBIEM_ID_BOBOT</t>
        </is>
      </c>
      <c r="B88" t="inlineStr"/>
      <c r="C88" t="inlineStr"/>
      <c r="D88" t="inlineStr">
        <is>
          <t>cari indeks J.P. Morgan GBI-EM Global Diversified; bobot Indonesia (sering berlisensi)</t>
        </is>
      </c>
    </row>
    <row r="91">
      <c r="A91" t="inlineStr">
        <is>
          <t>Data tambahan</t>
        </is>
      </c>
      <c r="B91" t="inlineStr"/>
      <c r="C91" t="inlineStr">
        <is>
          <t>Field (isi dulu)</t>
        </is>
      </c>
      <c r="D91" t="inlineStr">
        <is>
          <t>Parameter</t>
        </is>
      </c>
    </row>
    <row r="92">
      <c r="A92" t="inlineStr">
        <is>
          <t>kepemilikan_asing</t>
        </is>
      </c>
      <c r="C92" t="inlineStr"/>
      <c r="D92" t="inlineStr">
        <is>
          <t>SDate=2015-01-01 EDate=2026-12-31 Frq=CQ CH=Fd RH=IN</t>
        </is>
      </c>
    </row>
    <row r="93">
      <c r="A93" t="inlineStr">
        <is>
          <t>rating_bank</t>
        </is>
      </c>
      <c r="C93" t="inlineStr"/>
      <c r="D93" t="inlineStr">
        <is>
          <t>SDate=2015-01-01 EDate=2026-12-31 CH=Fd RH=IN</t>
        </is>
      </c>
    </row>
    <row r="94">
      <c r="A94" t="inlineStr">
        <is>
          <t>total_aset</t>
        </is>
      </c>
      <c r="C94" t="inlineStr">
        <is>
          <t>TR.TotalAssetsReported</t>
        </is>
      </c>
      <c r="D94" t="inlineStr">
        <is>
          <t>SDate=2015-01-01 EDate=2026-12-31 Frq=CQ CH=Fd RH=IN</t>
        </is>
      </c>
    </row>
    <row r="95">
      <c r="A95" t="inlineStr">
        <is>
          <t>total_deposito</t>
        </is>
      </c>
      <c r="C95" t="inlineStr">
        <is>
          <t>TR.TotalDeposits</t>
        </is>
      </c>
      <c r="D95" t="inlineStr">
        <is>
          <t>SDate=2015-01-01 EDate=2026-12-31 Frq=CQ CH=Fd RH=IN</t>
        </is>
      </c>
    </row>
    <row r="96">
      <c r="A96" t="inlineStr">
        <is>
          <t>total_ekuitas</t>
        </is>
      </c>
      <c r="C96" t="inlineStr">
        <is>
          <t>TR.TotalEquity</t>
        </is>
      </c>
      <c r="D96" t="inlineStr">
        <is>
          <t>SDate=2015-01-01 EDate=2026-12-31 Frq=CQ CH=Fd RH=IN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>
        <f>TR(config!$B$20,"TR.IndexConstituentRIC","CH=Fd RH=IN")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JCI</t>
        </is>
      </c>
      <c r="E1" t="inlineStr">
        <is>
          <t>MXEF</t>
        </is>
      </c>
      <c r="I1" t="inlineStr">
        <is>
          <t>SBN10Y</t>
        </is>
      </c>
      <c r="M1" t="inlineStr">
        <is>
          <t>USDIDR</t>
        </is>
      </c>
      <c r="Q1" t="inlineStr">
        <is>
          <t>MXID</t>
        </is>
      </c>
      <c r="U1" t="inlineStr">
        <is>
          <t>CDS5Y</t>
        </is>
      </c>
      <c r="Y1" t="inlineStr">
        <is>
          <t>VIX</t>
        </is>
      </c>
      <c r="AC1" t="inlineStr">
        <is>
          <t>COAL</t>
        </is>
      </c>
      <c r="AG1" t="inlineStr">
        <is>
          <t>CPO</t>
        </is>
      </c>
      <c r="AK1" t="inlineStr">
        <is>
          <t>NICKEL</t>
        </is>
      </c>
      <c r="AO1" t="inlineStr">
        <is>
          <t>EQ_TH</t>
        </is>
      </c>
      <c r="AS1" t="inlineStr">
        <is>
          <t>EQ_MY</t>
        </is>
      </c>
      <c r="AW1" t="inlineStr">
        <is>
          <t>EQ_PH</t>
        </is>
      </c>
      <c r="BA1" t="inlineStr">
        <is>
          <t>EQ_IN</t>
        </is>
      </c>
      <c r="BE1" t="inlineStr">
        <is>
          <t>EQ_BR</t>
        </is>
      </c>
      <c r="BI1" t="inlineStr">
        <is>
          <t>EQ_MX</t>
        </is>
      </c>
      <c r="BM1" t="inlineStr">
        <is>
          <t>EQ_TR</t>
        </is>
      </c>
      <c r="BQ1" t="inlineStr">
        <is>
          <t>EQ_ZA</t>
        </is>
      </c>
      <c r="BU1" t="inlineStr">
        <is>
          <t>EQ_KR</t>
        </is>
      </c>
      <c r="BY1" t="inlineStr">
        <is>
          <t>EQ_TW</t>
        </is>
      </c>
      <c r="CC1" t="inlineStr">
        <is>
          <t>EQ_VN</t>
        </is>
      </c>
      <c r="CG1" t="inlineStr">
        <is>
          <t>EQ_PL</t>
        </is>
      </c>
      <c r="CK1" t="inlineStr">
        <is>
          <t>EQ_CL</t>
        </is>
      </c>
      <c r="CO1" t="inlineStr">
        <is>
          <t>Y10_TH</t>
        </is>
      </c>
      <c r="CS1" t="inlineStr">
        <is>
          <t>Y10_MY</t>
        </is>
      </c>
      <c r="CW1" t="inlineStr">
        <is>
          <t>Y10_PH</t>
        </is>
      </c>
      <c r="DA1" t="inlineStr">
        <is>
          <t>Y10_IN</t>
        </is>
      </c>
      <c r="DE1" t="inlineStr">
        <is>
          <t>Y10_BR</t>
        </is>
      </c>
      <c r="DI1" t="inlineStr">
        <is>
          <t>Y10_MX</t>
        </is>
      </c>
      <c r="DM1" t="inlineStr">
        <is>
          <t>Y10_TR</t>
        </is>
      </c>
      <c r="DQ1" t="inlineStr">
        <is>
          <t>Y10_ZA</t>
        </is>
      </c>
      <c r="DU1" t="inlineStr">
        <is>
          <t>Y10_KR</t>
        </is>
      </c>
      <c r="DY1" t="inlineStr">
        <is>
          <t>Y10_TW</t>
        </is>
      </c>
      <c r="EC1" t="inlineStr">
        <is>
          <t>Y10_VN</t>
        </is>
      </c>
      <c r="EG1" t="inlineStr">
        <is>
          <t>Y10_PL</t>
        </is>
      </c>
      <c r="EK1" t="inlineStr">
        <is>
          <t>Y10_CL</t>
        </is>
      </c>
      <c r="EO1" t="inlineStr">
        <is>
          <t>FX_TH</t>
        </is>
      </c>
      <c r="ES1" t="inlineStr">
        <is>
          <t>FX_MY</t>
        </is>
      </c>
      <c r="EW1" t="inlineStr">
        <is>
          <t>FX_PH</t>
        </is>
      </c>
      <c r="FA1" t="inlineStr">
        <is>
          <t>FX_IN</t>
        </is>
      </c>
      <c r="FE1" t="inlineStr">
        <is>
          <t>FX_BR</t>
        </is>
      </c>
      <c r="FI1" t="inlineStr">
        <is>
          <t>FX_MX</t>
        </is>
      </c>
      <c r="FM1" t="inlineStr">
        <is>
          <t>FX_TR</t>
        </is>
      </c>
      <c r="FQ1" t="inlineStr">
        <is>
          <t>FX_ZA</t>
        </is>
      </c>
      <c r="FU1" t="inlineStr">
        <is>
          <t>FX_KR</t>
        </is>
      </c>
      <c r="FY1" t="inlineStr">
        <is>
          <t>FX_TW</t>
        </is>
      </c>
      <c r="GC1" t="inlineStr">
        <is>
          <t>FX_VN</t>
        </is>
      </c>
      <c r="GG1" t="inlineStr">
        <is>
          <t>FX_PL</t>
        </is>
      </c>
      <c r="GK1" t="inlineStr">
        <is>
          <t>FX_CL</t>
        </is>
      </c>
      <c r="GO1" t="inlineStr">
        <is>
          <t>BANK_ID</t>
        </is>
      </c>
      <c r="GS1" t="inlineStr">
        <is>
          <t>BANK_EM</t>
        </is>
      </c>
      <c r="GW1" t="inlineStr">
        <is>
          <t>BANK_TH</t>
        </is>
      </c>
      <c r="HA1" t="inlineStr">
        <is>
          <t>BANK_MY</t>
        </is>
      </c>
      <c r="HE1" t="inlineStr">
        <is>
          <t>BANK_PH</t>
        </is>
      </c>
      <c r="HI1" t="inlineStr">
        <is>
          <t>BANK_IN</t>
        </is>
      </c>
      <c r="HM1" t="inlineStr">
        <is>
          <t>BANK_BR</t>
        </is>
      </c>
      <c r="HQ1" t="inlineStr">
        <is>
          <t>BANK_MX</t>
        </is>
      </c>
      <c r="HU1" t="inlineStr">
        <is>
          <t>BANK_TR</t>
        </is>
      </c>
      <c r="HY1" t="inlineStr">
        <is>
          <t>BANK_ZA</t>
        </is>
      </c>
      <c r="IC1" t="inlineStr">
        <is>
          <t>BANK_KR</t>
        </is>
      </c>
      <c r="IG1" t="inlineStr">
        <is>
          <t>BANK_TW</t>
        </is>
      </c>
      <c r="IK1" t="inlineStr">
        <is>
          <t>BANK_VN</t>
        </is>
      </c>
      <c r="IO1" t="inlineStr">
        <is>
          <t>BANK_PL</t>
        </is>
      </c>
      <c r="IS1" t="inlineStr">
        <is>
          <t>BANK_CL</t>
        </is>
      </c>
      <c r="IW1" t="inlineStr">
        <is>
          <t>ETF_EIDO_AUM</t>
        </is>
      </c>
      <c r="JA1" t="inlineStr">
        <is>
          <t>ETF_EEM_AUM</t>
        </is>
      </c>
      <c r="JE1" t="inlineStr">
        <is>
          <t>ETF_VWO_AUM</t>
        </is>
      </c>
      <c r="JI1" t="inlineStr">
        <is>
          <t>ETF_EMLC_AUM</t>
        </is>
      </c>
      <c r="JM1" t="inlineStr">
        <is>
          <t>GBIEM_ID_BOBOT</t>
        </is>
      </c>
    </row>
    <row r="2">
      <c r="A2">
        <f>TR(config!$B$20,config!$C$20&amp;".date;"&amp;config!$C$20,config!$B$7)</f>
        <v/>
      </c>
      <c r="E2">
        <f>TR(config!$B$21,config!$C$21&amp;".date;"&amp;config!$C$21,config!$B$7)</f>
        <v/>
      </c>
      <c r="I2">
        <f>TR(config!$B$22,config!$C$22&amp;".date;"&amp;config!$C$22,config!$B$7)</f>
        <v/>
      </c>
      <c r="M2">
        <f>TR(config!$B$23,config!$C$23&amp;".date;"&amp;config!$C$23,config!$B$7)</f>
        <v/>
      </c>
      <c r="Q2">
        <f>TR(config!$B$24,config!$C$24&amp;".date;"&amp;config!$C$24,config!$B$7)</f>
        <v/>
      </c>
      <c r="U2">
        <f>TR(config!$B$25,config!$C$25&amp;".date;"&amp;config!$C$25,config!$B$7)</f>
        <v/>
      </c>
      <c r="Y2">
        <f>TR(config!$B$26,config!$C$26&amp;".date;"&amp;config!$C$26,config!$B$7)</f>
        <v/>
      </c>
      <c r="AC2">
        <f>TR(config!$B$27,config!$C$27&amp;".date;"&amp;config!$C$27,config!$B$7)</f>
        <v/>
      </c>
      <c r="AG2">
        <f>TR(config!$B$28,config!$C$28&amp;".date;"&amp;config!$C$28,config!$B$7)</f>
        <v/>
      </c>
      <c r="AK2">
        <f>TR(config!$B$29,config!$C$29&amp;".date;"&amp;config!$C$29,config!$B$7)</f>
        <v/>
      </c>
      <c r="AO2">
        <f>TR(config!$B$30,config!$C$30&amp;".date;"&amp;config!$C$30,config!$B$7)</f>
        <v/>
      </c>
      <c r="AS2">
        <f>TR(config!$B$31,config!$C$31&amp;".date;"&amp;config!$C$31,config!$B$7)</f>
        <v/>
      </c>
      <c r="AW2">
        <f>TR(config!$B$32,config!$C$32&amp;".date;"&amp;config!$C$32,config!$B$7)</f>
        <v/>
      </c>
      <c r="BA2">
        <f>TR(config!$B$33,config!$C$33&amp;".date;"&amp;config!$C$33,config!$B$7)</f>
        <v/>
      </c>
      <c r="BE2">
        <f>TR(config!$B$34,config!$C$34&amp;".date;"&amp;config!$C$34,config!$B$7)</f>
        <v/>
      </c>
      <c r="BI2">
        <f>TR(config!$B$35,config!$C$35&amp;".date;"&amp;config!$C$35,config!$B$7)</f>
        <v/>
      </c>
      <c r="BM2">
        <f>TR(config!$B$36,config!$C$36&amp;".date;"&amp;config!$C$36,config!$B$7)</f>
        <v/>
      </c>
      <c r="BQ2">
        <f>TR(config!$B$37,config!$C$37&amp;".date;"&amp;config!$C$37,config!$B$7)</f>
        <v/>
      </c>
      <c r="BU2">
        <f>TR(config!$B$38,config!$C$38&amp;".date;"&amp;config!$C$38,config!$B$7)</f>
        <v/>
      </c>
      <c r="BY2">
        <f>TR(config!$B$39,config!$C$39&amp;".date;"&amp;config!$C$39,config!$B$7)</f>
        <v/>
      </c>
      <c r="CC2">
        <f>TR(config!$B$40,config!$C$40&amp;".date;"&amp;config!$C$40,config!$B$7)</f>
        <v/>
      </c>
      <c r="CG2">
        <f>TR(config!$B$41,config!$C$41&amp;".date;"&amp;config!$C$41,config!$B$7)</f>
        <v/>
      </c>
      <c r="CK2">
        <f>TR(config!$B$42,config!$C$42&amp;".date;"&amp;config!$C$42,config!$B$7)</f>
        <v/>
      </c>
      <c r="CO2">
        <f>TR(config!$B$43,config!$C$43&amp;".date;"&amp;config!$C$43,config!$B$7)</f>
        <v/>
      </c>
      <c r="CS2">
        <f>TR(config!$B$44,config!$C$44&amp;".date;"&amp;config!$C$44,config!$B$7)</f>
        <v/>
      </c>
      <c r="CW2">
        <f>TR(config!$B$45,config!$C$45&amp;".date;"&amp;config!$C$45,config!$B$7)</f>
        <v/>
      </c>
      <c r="DA2">
        <f>TR(config!$B$46,config!$C$46&amp;".date;"&amp;config!$C$46,config!$B$7)</f>
        <v/>
      </c>
      <c r="DE2">
        <f>TR(config!$B$47,config!$C$47&amp;".date;"&amp;config!$C$47,config!$B$7)</f>
        <v/>
      </c>
      <c r="DI2">
        <f>TR(config!$B$48,config!$C$48&amp;".date;"&amp;config!$C$48,config!$B$7)</f>
        <v/>
      </c>
      <c r="DM2">
        <f>TR(config!$B$49,config!$C$49&amp;".date;"&amp;config!$C$49,config!$B$7)</f>
        <v/>
      </c>
      <c r="DQ2">
        <f>TR(config!$B$50,config!$C$50&amp;".date;"&amp;config!$C$50,config!$B$7)</f>
        <v/>
      </c>
      <c r="DU2">
        <f>TR(config!$B$51,config!$C$51&amp;".date;"&amp;config!$C$51,config!$B$7)</f>
        <v/>
      </c>
      <c r="DY2">
        <f>TR(config!$B$52,config!$C$52&amp;".date;"&amp;config!$C$52,config!$B$7)</f>
        <v/>
      </c>
      <c r="EC2">
        <f>TR(config!$B$53,config!$C$53&amp;".date;"&amp;config!$C$53,config!$B$7)</f>
        <v/>
      </c>
      <c r="EG2">
        <f>TR(config!$B$54,config!$C$54&amp;".date;"&amp;config!$C$54,config!$B$7)</f>
        <v/>
      </c>
      <c r="EK2">
        <f>TR(config!$B$55,config!$C$55&amp;".date;"&amp;config!$C$55,config!$B$7)</f>
        <v/>
      </c>
      <c r="EO2">
        <f>TR(config!$B$56,config!$C$56&amp;".date;"&amp;config!$C$56,config!$B$7)</f>
        <v/>
      </c>
      <c r="ES2">
        <f>TR(config!$B$57,config!$C$57&amp;".date;"&amp;config!$C$57,config!$B$7)</f>
        <v/>
      </c>
      <c r="EW2">
        <f>TR(config!$B$58,config!$C$58&amp;".date;"&amp;config!$C$58,config!$B$7)</f>
        <v/>
      </c>
      <c r="FA2">
        <f>TR(config!$B$59,config!$C$59&amp;".date;"&amp;config!$C$59,config!$B$7)</f>
        <v/>
      </c>
      <c r="FE2">
        <f>TR(config!$B$60,config!$C$60&amp;".date;"&amp;config!$C$60,config!$B$7)</f>
        <v/>
      </c>
      <c r="FI2">
        <f>TR(config!$B$61,config!$C$61&amp;".date;"&amp;config!$C$61,config!$B$7)</f>
        <v/>
      </c>
      <c r="FM2">
        <f>TR(config!$B$62,config!$C$62&amp;".date;"&amp;config!$C$62,config!$B$7)</f>
        <v/>
      </c>
      <c r="FQ2">
        <f>TR(config!$B$63,config!$C$63&amp;".date;"&amp;config!$C$63,config!$B$7)</f>
        <v/>
      </c>
      <c r="FU2">
        <f>TR(config!$B$64,config!$C$64&amp;".date;"&amp;config!$C$64,config!$B$7)</f>
        <v/>
      </c>
      <c r="FY2">
        <f>TR(config!$B$65,config!$C$65&amp;".date;"&amp;config!$C$65,config!$B$7)</f>
        <v/>
      </c>
      <c r="GC2">
        <f>TR(config!$B$66,config!$C$66&amp;".date;"&amp;config!$C$66,config!$B$7)</f>
        <v/>
      </c>
      <c r="GG2">
        <f>TR(config!$B$67,config!$C$67&amp;".date;"&amp;config!$C$67,config!$B$7)</f>
        <v/>
      </c>
      <c r="GK2">
        <f>TR(config!$B$68,config!$C$68&amp;".date;"&amp;config!$C$68,config!$B$7)</f>
        <v/>
      </c>
      <c r="GO2">
        <f>TR(config!$B$69,config!$C$69&amp;".date;"&amp;config!$C$69,config!$B$7)</f>
        <v/>
      </c>
      <c r="GS2">
        <f>TR(config!$B$70,config!$C$70&amp;".date;"&amp;config!$C$70,config!$B$7)</f>
        <v/>
      </c>
      <c r="GW2">
        <f>TR(config!$B$71,config!$C$71&amp;".date;"&amp;config!$C$71,config!$B$7)</f>
        <v/>
      </c>
      <c r="HA2">
        <f>TR(config!$B$72,config!$C$72&amp;".date;"&amp;config!$C$72,config!$B$7)</f>
        <v/>
      </c>
      <c r="HE2">
        <f>TR(config!$B$73,config!$C$73&amp;".date;"&amp;config!$C$73,config!$B$7)</f>
        <v/>
      </c>
      <c r="HI2">
        <f>TR(config!$B$74,config!$C$74&amp;".date;"&amp;config!$C$74,config!$B$7)</f>
        <v/>
      </c>
      <c r="HM2">
        <f>TR(config!$B$75,config!$C$75&amp;".date;"&amp;config!$C$75,config!$B$7)</f>
        <v/>
      </c>
      <c r="HQ2">
        <f>TR(config!$B$76,config!$C$76&amp;".date;"&amp;config!$C$76,config!$B$7)</f>
        <v/>
      </c>
      <c r="HU2">
        <f>TR(config!$B$77,config!$C$77&amp;".date;"&amp;config!$C$77,config!$B$7)</f>
        <v/>
      </c>
      <c r="HY2">
        <f>TR(config!$B$78,config!$C$78&amp;".date;"&amp;config!$C$78,config!$B$7)</f>
        <v/>
      </c>
      <c r="IC2">
        <f>TR(config!$B$79,config!$C$79&amp;".date;"&amp;config!$C$79,config!$B$7)</f>
        <v/>
      </c>
      <c r="IG2">
        <f>TR(config!$B$80,config!$C$80&amp;".date;"&amp;config!$C$80,config!$B$7)</f>
        <v/>
      </c>
      <c r="IK2">
        <f>TR(config!$B$81,config!$C$81&amp;".date;"&amp;config!$C$81,config!$B$7)</f>
        <v/>
      </c>
      <c r="IO2">
        <f>TR(config!$B$82,config!$C$82&amp;".date;"&amp;config!$C$82,config!$B$7)</f>
        <v/>
      </c>
      <c r="IS2">
        <f>TR(config!$B$83,config!$C$83&amp;".date;"&amp;config!$C$83,config!$B$7)</f>
        <v/>
      </c>
      <c r="IW2">
        <f>TR(config!$B$84,config!$C$84&amp;".date;"&amp;config!$C$84,config!$B$7)</f>
        <v/>
      </c>
      <c r="JA2">
        <f>TR(config!$B$85,config!$C$85&amp;".date;"&amp;config!$C$85,config!$B$7)</f>
        <v/>
      </c>
      <c r="JE2">
        <f>TR(config!$B$86,config!$C$86&amp;".date;"&amp;config!$C$86,config!$B$7)</f>
        <v/>
      </c>
      <c r="JI2">
        <f>TR(config!$B$87,config!$C$87&amp;".date;"&amp;config!$C$87,config!$B$7)</f>
        <v/>
      </c>
      <c r="JM2">
        <f>TR(config!$B$88,config!$C$88&amp;".date;"&amp;config!$C$88,config!$B$7)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TR(tickers!$B$2:$B$26,"TR.TotalReturn.date;TR.TotalReturn",config!$B$10)</f>
        <v/>
      </c>
      <c r="E2">
        <f>TR(tickers!$B$27:$B$51,"TR.TotalReturn.date;TR.TotalReturn",config!$B$10)</f>
        <v/>
      </c>
      <c r="I2">
        <f>TR(tickers!$B$52:$B$76,"TR.TotalReturn.date;TR.TotalReturn",config!$B$10)</f>
        <v/>
      </c>
      <c r="M2">
        <f>TR(tickers!$B$77:$B$101,"TR.TotalReturn.date;TR.TotalReturn",config!$B$10)</f>
        <v/>
      </c>
      <c r="Q2">
        <f>TR(tickers!$B$102:$B$126,"TR.TotalReturn.date;TR.TotalReturn",config!$B$10)</f>
        <v/>
      </c>
      <c r="U2">
        <f>TR(tickers!$B$127:$B$151,"TR.TotalReturn.date;TR.TotalReturn",config!$B$10)</f>
        <v/>
      </c>
      <c r="Y2">
        <f>TR(tickers!$B$152:$B$176,"TR.TotalReturn.date;TR.TotalReturn",config!$B$10)</f>
        <v/>
      </c>
      <c r="AC2">
        <f>TR(tickers!$B$177:$B$201,"TR.TotalReturn.date;TR.TotalReturn",config!$B$10)</f>
        <v/>
      </c>
      <c r="AG2">
        <f>TR(tickers!$B$202:$B$226,"TR.TotalReturn.date;TR.TotalReturn",config!$B$10)</f>
        <v/>
      </c>
      <c r="AK2">
        <f>TR(tickers!$B$227:$B$251,"TR.TotalReturn.date;TR.TotalReturn",config!$B$10)</f>
        <v/>
      </c>
      <c r="AO2">
        <f>TR(tickers!$B$252:$B$276,"TR.TotalReturn.date;TR.TotalReturn",config!$B$10)</f>
        <v/>
      </c>
      <c r="AS2">
        <f>TR(tickers!$B$277:$B$301,"TR.TotalReturn.date;TR.TotalReturn",config!$B$10)</f>
        <v/>
      </c>
      <c r="AW2">
        <f>TR(tickers!$B$302:$B$326,"TR.TotalReturn.date;TR.TotalReturn",config!$B$10)</f>
        <v/>
      </c>
      <c r="BA2">
        <f>TR(tickers!$B$327:$B$351,"TR.TotalReturn.date;TR.TotalReturn",config!$B$10)</f>
        <v/>
      </c>
      <c r="BE2">
        <f>TR(tickers!$B$352:$B$376,"TR.TotalReturn.date;TR.TotalReturn",config!$B$10)</f>
        <v/>
      </c>
      <c r="BI2">
        <f>TR(tickers!$B$377:$B$401,"TR.TotalReturn.date;TR.TotalReturn",config!$B$10)</f>
        <v/>
      </c>
      <c r="BM2">
        <f>TR(tickers!$B$402:$B$426,"TR.TotalReturn.date;TR.TotalReturn",config!$B$10)</f>
        <v/>
      </c>
      <c r="BQ2">
        <f>TR(tickers!$B$427:$B$451,"TR.TotalReturn.date;TR.TotalReturn",config!$B$10)</f>
        <v/>
      </c>
      <c r="BU2">
        <f>TR(tickers!$B$452:$B$476,"TR.TotalReturn.date;TR.TotalReturn",config!$B$10)</f>
        <v/>
      </c>
      <c r="BY2">
        <f>TR(tickers!$B$477:$B$501,"TR.TotalReturn.date;TR.TotalReturn",config!$B$10)</f>
        <v/>
      </c>
      <c r="CC2">
        <f>TR(tickers!$B$502:$B$526,"TR.TotalReturn.date;TR.TotalReturn",config!$B$10)</f>
        <v/>
      </c>
      <c r="CG2">
        <f>TR(tickers!$B$527:$B$551,"TR.TotalReturn.date;TR.TotalReturn",config!$B$10)</f>
        <v/>
      </c>
      <c r="CK2">
        <f>TR(tickers!$B$552:$B$576,"TR.TotalReturn.date;TR.TotalReturn",config!$B$10)</f>
        <v/>
      </c>
      <c r="CO2">
        <f>TR(tickers!$B$577:$B$601,"TR.TotalReturn.date;TR.TotalReturn",config!$B$10)</f>
        <v/>
      </c>
      <c r="CS2">
        <f>TR(tickers!$B$602:$B$626,"TR.TotalReturn.date;TR.TotalReturn",config!$B$10)</f>
        <v/>
      </c>
      <c r="CW2">
        <f>TR(tickers!$B$627:$B$651,"TR.TotalReturn.date;TR.TotalReturn",config!$B$10)</f>
        <v/>
      </c>
      <c r="DA2">
        <f>TR(tickers!$B$652:$B$676,"TR.TotalReturn.date;TR.TotalReturn",config!$B$10)</f>
        <v/>
      </c>
      <c r="DE2">
        <f>TR(tickers!$B$677:$B$701,"TR.TotalReturn.date;TR.TotalReturn",config!$B$10)</f>
        <v/>
      </c>
      <c r="DI2">
        <f>TR(tickers!$B$702:$B$726,"TR.TotalReturn.date;TR.TotalReturn",config!$B$10)</f>
        <v/>
      </c>
      <c r="DM2">
        <f>TR(tickers!$B$727:$B$751,"TR.TotalReturn.date;TR.TotalReturn",config!$B$10)</f>
        <v/>
      </c>
      <c r="DQ2">
        <f>TR(tickers!$B$752:$B$776,"TR.TotalReturn.date;TR.TotalReturn",config!$B$10)</f>
        <v/>
      </c>
      <c r="DU2">
        <f>TR(tickers!$B$777:$B$801,"TR.TotalReturn.date;TR.TotalReturn",config!$B$10)</f>
        <v/>
      </c>
      <c r="DY2">
        <f>TR(tickers!$B$802:$B$826,"TR.TotalReturn.date;TR.TotalReturn",config!$B$10)</f>
        <v/>
      </c>
      <c r="EC2">
        <f>TR(tickers!$B$827:$B$851,"TR.TotalReturn.date;TR.TotalReturn",config!$B$10)</f>
        <v/>
      </c>
      <c r="EG2">
        <f>TR(tickers!$B$852:$B$876,"TR.TotalReturn.date;TR.TotalReturn",config!$B$10)</f>
        <v/>
      </c>
      <c r="EK2">
        <f>TR(tickers!$B$877:$B$901,"TR.TotalReturn.date;TR.TotalReturn",config!$B$10)</f>
        <v/>
      </c>
      <c r="EO2">
        <f>TR(tickers!$B$902:$B$926,"TR.TotalReturn.date;TR.TotalReturn",config!$B$10)</f>
        <v/>
      </c>
      <c r="ES2">
        <f>TR(tickers!$B$927:$B$951,"TR.TotalReturn.date;TR.TotalReturn",config!$B$10)</f>
        <v/>
      </c>
      <c r="EW2">
        <f>TR(tickers!$B$952:$B$976,"TR.TotalReturn.date;TR.TotalReturn",config!$B$10)</f>
        <v/>
      </c>
      <c r="FA2">
        <f>TR(tickers!$B$977:$B$1001,"TR.TotalReturn.date;TR.TotalReturn",config!$B$10)</f>
        <v/>
      </c>
      <c r="FE2">
        <f>TR(tickers!$B$1002:$B$1026,"TR.TotalReturn.date;TR.TotalReturn",config!$B$10)</f>
        <v/>
      </c>
      <c r="FI2">
        <f>TR(tickers!$B$1027:$B$1051,"TR.TotalReturn.date;TR.TotalReturn",config!$B$10)</f>
        <v/>
      </c>
      <c r="FM2">
        <f>TR(tickers!$B$1052:$B$1076,"TR.TotalReturn.date;TR.TotalReturn",config!$B$10)</f>
        <v/>
      </c>
      <c r="FQ2">
        <f>TR(tickers!$B$1077:$B$1101,"TR.TotalReturn.date;TR.TotalReturn",config!$B$10)</f>
        <v/>
      </c>
      <c r="FU2">
        <f>TR(tickers!$B$1102:$B$1126,"TR.TotalReturn.date;TR.TotalReturn",config!$B$10)</f>
        <v/>
      </c>
      <c r="FY2">
        <f>TR(tickers!$B$1127:$B$1151,"TR.TotalReturn.date;TR.TotalReturn",config!$B$10)</f>
        <v/>
      </c>
      <c r="GC2">
        <f>TR(tickers!$B$1152:$B$1176,"TR.TotalReturn.date;TR.TotalReturn",config!$B$10)</f>
        <v/>
      </c>
      <c r="GG2">
        <f>TR(tickers!$B$1177:$B$1201,"TR.TotalReturn.date;TR.TotalReturn",config!$B$10)</f>
        <v/>
      </c>
      <c r="GK2">
        <f>TR(tickers!$B$1202:$B$1226,"TR.TotalReturn.date;TR.TotalReturn",config!$B$10)</f>
        <v/>
      </c>
      <c r="GO2">
        <f>TR(tickers!$B$1227:$B$1251,"TR.TotalReturn.date;TR.TotalReturn",config!$B$10)</f>
        <v/>
      </c>
      <c r="GS2">
        <f>TR(tickers!$B$1252:$B$1276,"TR.TotalReturn.date;TR.TotalReturn",config!$B$10)</f>
        <v/>
      </c>
      <c r="GW2">
        <f>TR(tickers!$B$1277:$B$1301,"TR.TotalReturn.date;TR.TotalReturn",config!$B$10)</f>
        <v/>
      </c>
      <c r="HA2">
        <f>TR(tickers!$B$1302:$B$1326,"TR.TotalReturn.date;TR.TotalReturn",config!$B$10)</f>
        <v/>
      </c>
      <c r="HE2">
        <f>TR(tickers!$B$1327:$B$1351,"TR.TotalReturn.date;TR.TotalReturn",config!$B$10)</f>
        <v/>
      </c>
      <c r="HI2">
        <f>TR(tickers!$B$1352:$B$1376,"TR.TotalReturn.date;TR.TotalReturn",config!$B$10)</f>
        <v/>
      </c>
      <c r="HM2">
        <f>TR(tickers!$B$1377:$B$1401,"TR.TotalReturn.date;TR.TotalReturn",config!$B$10)</f>
        <v/>
      </c>
      <c r="HQ2">
        <f>TR(tickers!$B$1402:$B$1426,"TR.TotalReturn.date;TR.TotalReturn",config!$B$10)</f>
        <v/>
      </c>
      <c r="HU2">
        <f>TR(tickers!$B$1427:$B$1451,"TR.TotalReturn.date;TR.TotalReturn",config!$B$10)</f>
        <v/>
      </c>
      <c r="HY2">
        <f>TR(tickers!$B$1452:$B$1476,"TR.TotalReturn.date;TR.TotalReturn",config!$B$10)</f>
        <v/>
      </c>
      <c r="IC2">
        <f>TR(tickers!$B$1477:$B$1501,"TR.TotalReturn.date;TR.TotalReturn",config!$B$10)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TR(tickers!$B$2:$B$26,"TR.PriceClose.date;TR.PriceClose",config!$B$10)</f>
        <v/>
      </c>
      <c r="E2">
        <f>TR(tickers!$B$27:$B$51,"TR.PriceClose.date;TR.PriceClose",config!$B$10)</f>
        <v/>
      </c>
      <c r="I2">
        <f>TR(tickers!$B$52:$B$76,"TR.PriceClose.date;TR.PriceClose",config!$B$10)</f>
        <v/>
      </c>
      <c r="M2">
        <f>TR(tickers!$B$77:$B$101,"TR.PriceClose.date;TR.PriceClose",config!$B$10)</f>
        <v/>
      </c>
      <c r="Q2">
        <f>TR(tickers!$B$102:$B$126,"TR.PriceClose.date;TR.PriceClose",config!$B$10)</f>
        <v/>
      </c>
      <c r="U2">
        <f>TR(tickers!$B$127:$B$151,"TR.PriceClose.date;TR.PriceClose",config!$B$10)</f>
        <v/>
      </c>
      <c r="Y2">
        <f>TR(tickers!$B$152:$B$176,"TR.PriceClose.date;TR.PriceClose",config!$B$10)</f>
        <v/>
      </c>
      <c r="AC2">
        <f>TR(tickers!$B$177:$B$201,"TR.PriceClose.date;TR.PriceClose",config!$B$10)</f>
        <v/>
      </c>
      <c r="AG2">
        <f>TR(tickers!$B$202:$B$226,"TR.PriceClose.date;TR.PriceClose",config!$B$10)</f>
        <v/>
      </c>
      <c r="AK2">
        <f>TR(tickers!$B$227:$B$251,"TR.PriceClose.date;TR.PriceClose",config!$B$10)</f>
        <v/>
      </c>
      <c r="AO2">
        <f>TR(tickers!$B$252:$B$276,"TR.PriceClose.date;TR.PriceClose",config!$B$10)</f>
        <v/>
      </c>
      <c r="AS2">
        <f>TR(tickers!$B$277:$B$301,"TR.PriceClose.date;TR.PriceClose",config!$B$10)</f>
        <v/>
      </c>
      <c r="AW2">
        <f>TR(tickers!$B$302:$B$326,"TR.PriceClose.date;TR.PriceClose",config!$B$10)</f>
        <v/>
      </c>
      <c r="BA2">
        <f>TR(tickers!$B$327:$B$351,"TR.PriceClose.date;TR.PriceClose",config!$B$10)</f>
        <v/>
      </c>
      <c r="BE2">
        <f>TR(tickers!$B$352:$B$376,"TR.PriceClose.date;TR.PriceClose",config!$B$10)</f>
        <v/>
      </c>
      <c r="BI2">
        <f>TR(tickers!$B$377:$B$401,"TR.PriceClose.date;TR.PriceClose",config!$B$10)</f>
        <v/>
      </c>
      <c r="BM2">
        <f>TR(tickers!$B$402:$B$426,"TR.PriceClose.date;TR.PriceClose",config!$B$10)</f>
        <v/>
      </c>
      <c r="BQ2">
        <f>TR(tickers!$B$427:$B$451,"TR.PriceClose.date;TR.PriceClose",config!$B$10)</f>
        <v/>
      </c>
      <c r="BU2">
        <f>TR(tickers!$B$452:$B$476,"TR.PriceClose.date;TR.PriceClose",config!$B$10)</f>
        <v/>
      </c>
      <c r="BY2">
        <f>TR(tickers!$B$477:$B$501,"TR.PriceClose.date;TR.PriceClose",config!$B$10)</f>
        <v/>
      </c>
      <c r="CC2">
        <f>TR(tickers!$B$502:$B$526,"TR.PriceClose.date;TR.PriceClose",config!$B$10)</f>
        <v/>
      </c>
      <c r="CG2">
        <f>TR(tickers!$B$527:$B$551,"TR.PriceClose.date;TR.PriceClose",config!$B$10)</f>
        <v/>
      </c>
      <c r="CK2">
        <f>TR(tickers!$B$552:$B$576,"TR.PriceClose.date;TR.PriceClose",config!$B$10)</f>
        <v/>
      </c>
      <c r="CO2">
        <f>TR(tickers!$B$577:$B$601,"TR.PriceClose.date;TR.PriceClose",config!$B$10)</f>
        <v/>
      </c>
      <c r="CS2">
        <f>TR(tickers!$B$602:$B$626,"TR.PriceClose.date;TR.PriceClose",config!$B$10)</f>
        <v/>
      </c>
      <c r="CW2">
        <f>TR(tickers!$B$627:$B$651,"TR.PriceClose.date;TR.PriceClose",config!$B$10)</f>
        <v/>
      </c>
      <c r="DA2">
        <f>TR(tickers!$B$652:$B$676,"TR.PriceClose.date;TR.PriceClose",config!$B$10)</f>
        <v/>
      </c>
      <c r="DE2">
        <f>TR(tickers!$B$677:$B$701,"TR.PriceClose.date;TR.PriceClose",config!$B$10)</f>
        <v/>
      </c>
      <c r="DI2">
        <f>TR(tickers!$B$702:$B$726,"TR.PriceClose.date;TR.PriceClose",config!$B$10)</f>
        <v/>
      </c>
      <c r="DM2">
        <f>TR(tickers!$B$727:$B$751,"TR.PriceClose.date;TR.PriceClose",config!$B$10)</f>
        <v/>
      </c>
      <c r="DQ2">
        <f>TR(tickers!$B$752:$B$776,"TR.PriceClose.date;TR.PriceClose",config!$B$10)</f>
        <v/>
      </c>
      <c r="DU2">
        <f>TR(tickers!$B$777:$B$801,"TR.PriceClose.date;TR.PriceClose",config!$B$10)</f>
        <v/>
      </c>
      <c r="DY2">
        <f>TR(tickers!$B$802:$B$826,"TR.PriceClose.date;TR.PriceClose",config!$B$10)</f>
        <v/>
      </c>
      <c r="EC2">
        <f>TR(tickers!$B$827:$B$851,"TR.PriceClose.date;TR.PriceClose",config!$B$10)</f>
        <v/>
      </c>
      <c r="EG2">
        <f>TR(tickers!$B$852:$B$876,"TR.PriceClose.date;TR.PriceClose",config!$B$10)</f>
        <v/>
      </c>
      <c r="EK2">
        <f>TR(tickers!$B$877:$B$901,"TR.PriceClose.date;TR.PriceClose",config!$B$10)</f>
        <v/>
      </c>
      <c r="EO2">
        <f>TR(tickers!$B$902:$B$926,"TR.PriceClose.date;TR.PriceClose",config!$B$10)</f>
        <v/>
      </c>
      <c r="ES2">
        <f>TR(tickers!$B$927:$B$951,"TR.PriceClose.date;TR.PriceClose",config!$B$10)</f>
        <v/>
      </c>
      <c r="EW2">
        <f>TR(tickers!$B$952:$B$976,"TR.PriceClose.date;TR.PriceClose",config!$B$10)</f>
        <v/>
      </c>
      <c r="FA2">
        <f>TR(tickers!$B$977:$B$1001,"TR.PriceClose.date;TR.PriceClose",config!$B$10)</f>
        <v/>
      </c>
      <c r="FE2">
        <f>TR(tickers!$B$1002:$B$1026,"TR.PriceClose.date;TR.PriceClose",config!$B$10)</f>
        <v/>
      </c>
      <c r="FI2">
        <f>TR(tickers!$B$1027:$B$1051,"TR.PriceClose.date;TR.PriceClose",config!$B$10)</f>
        <v/>
      </c>
      <c r="FM2">
        <f>TR(tickers!$B$1052:$B$1076,"TR.PriceClose.date;TR.PriceClose",config!$B$10)</f>
        <v/>
      </c>
      <c r="FQ2">
        <f>TR(tickers!$B$1077:$B$1101,"TR.PriceClose.date;TR.PriceClose",config!$B$10)</f>
        <v/>
      </c>
      <c r="FU2">
        <f>TR(tickers!$B$1102:$B$1126,"TR.PriceClose.date;TR.PriceClose",config!$B$10)</f>
        <v/>
      </c>
      <c r="FY2">
        <f>TR(tickers!$B$1127:$B$1151,"TR.PriceClose.date;TR.PriceClose",config!$B$10)</f>
        <v/>
      </c>
      <c r="GC2">
        <f>TR(tickers!$B$1152:$B$1176,"TR.PriceClose.date;TR.PriceClose",config!$B$10)</f>
        <v/>
      </c>
      <c r="GG2">
        <f>TR(tickers!$B$1177:$B$1201,"TR.PriceClose.date;TR.PriceClose",config!$B$10)</f>
        <v/>
      </c>
      <c r="GK2">
        <f>TR(tickers!$B$1202:$B$1226,"TR.PriceClose.date;TR.PriceClose",config!$B$10)</f>
        <v/>
      </c>
      <c r="GO2">
        <f>TR(tickers!$B$1227:$B$1251,"TR.PriceClose.date;TR.PriceClose",config!$B$10)</f>
        <v/>
      </c>
      <c r="GS2">
        <f>TR(tickers!$B$1252:$B$1276,"TR.PriceClose.date;TR.PriceClose",config!$B$10)</f>
        <v/>
      </c>
      <c r="GW2">
        <f>TR(tickers!$B$1277:$B$1301,"TR.PriceClose.date;TR.PriceClose",config!$B$10)</f>
        <v/>
      </c>
      <c r="HA2">
        <f>TR(tickers!$B$1302:$B$1326,"TR.PriceClose.date;TR.PriceClose",config!$B$10)</f>
        <v/>
      </c>
      <c r="HE2">
        <f>TR(tickers!$B$1327:$B$1351,"TR.PriceClose.date;TR.PriceClose",config!$B$10)</f>
        <v/>
      </c>
      <c r="HI2">
        <f>TR(tickers!$B$1352:$B$1376,"TR.PriceClose.date;TR.PriceClose",config!$B$10)</f>
        <v/>
      </c>
      <c r="HM2">
        <f>TR(tickers!$B$1377:$B$1401,"TR.PriceClose.date;TR.PriceClose",config!$B$10)</f>
        <v/>
      </c>
      <c r="HQ2">
        <f>TR(tickers!$B$1402:$B$1426,"TR.PriceClose.date;TR.PriceClose",config!$B$10)</f>
        <v/>
      </c>
      <c r="HU2">
        <f>TR(tickers!$B$1427:$B$1451,"TR.PriceClose.date;TR.PriceClose",config!$B$10)</f>
        <v/>
      </c>
      <c r="HY2">
        <f>TR(tickers!$B$1452:$B$1476,"TR.PriceClose.date;TR.PriceClose",config!$B$10)</f>
        <v/>
      </c>
      <c r="IC2">
        <f>TR(tickers!$B$1477:$B$1501,"TR.PriceClose.date;TR.PriceClose",config!$B$10)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TR(tickers!$B$2:$B$26,"TR.Volume.date;TR.Volume",config!$B$10)</f>
        <v/>
      </c>
      <c r="E2">
        <f>TR(tickers!$B$27:$B$51,"TR.Volume.date;TR.Volume",config!$B$10)</f>
        <v/>
      </c>
      <c r="I2">
        <f>TR(tickers!$B$52:$B$76,"TR.Volume.date;TR.Volume",config!$B$10)</f>
        <v/>
      </c>
      <c r="M2">
        <f>TR(tickers!$B$77:$B$101,"TR.Volume.date;TR.Volume",config!$B$10)</f>
        <v/>
      </c>
      <c r="Q2">
        <f>TR(tickers!$B$102:$B$126,"TR.Volume.date;TR.Volume",config!$B$10)</f>
        <v/>
      </c>
      <c r="U2">
        <f>TR(tickers!$B$127:$B$151,"TR.Volume.date;TR.Volume",config!$B$10)</f>
        <v/>
      </c>
      <c r="Y2">
        <f>TR(tickers!$B$152:$B$176,"TR.Volume.date;TR.Volume",config!$B$10)</f>
        <v/>
      </c>
      <c r="AC2">
        <f>TR(tickers!$B$177:$B$201,"TR.Volume.date;TR.Volume",config!$B$10)</f>
        <v/>
      </c>
      <c r="AG2">
        <f>TR(tickers!$B$202:$B$226,"TR.Volume.date;TR.Volume",config!$B$10)</f>
        <v/>
      </c>
      <c r="AK2">
        <f>TR(tickers!$B$227:$B$251,"TR.Volume.date;TR.Volume",config!$B$10)</f>
        <v/>
      </c>
      <c r="AO2">
        <f>TR(tickers!$B$252:$B$276,"TR.Volume.date;TR.Volume",config!$B$10)</f>
        <v/>
      </c>
      <c r="AS2">
        <f>TR(tickers!$B$277:$B$301,"TR.Volume.date;TR.Volume",config!$B$10)</f>
        <v/>
      </c>
      <c r="AW2">
        <f>TR(tickers!$B$302:$B$326,"TR.Volume.date;TR.Volume",config!$B$10)</f>
        <v/>
      </c>
      <c r="BA2">
        <f>TR(tickers!$B$327:$B$351,"TR.Volume.date;TR.Volume",config!$B$10)</f>
        <v/>
      </c>
      <c r="BE2">
        <f>TR(tickers!$B$352:$B$376,"TR.Volume.date;TR.Volume",config!$B$10)</f>
        <v/>
      </c>
      <c r="BI2">
        <f>TR(tickers!$B$377:$B$401,"TR.Volume.date;TR.Volume",config!$B$10)</f>
        <v/>
      </c>
      <c r="BM2">
        <f>TR(tickers!$B$402:$B$426,"TR.Volume.date;TR.Volume",config!$B$10)</f>
        <v/>
      </c>
      <c r="BQ2">
        <f>TR(tickers!$B$427:$B$451,"TR.Volume.date;TR.Volume",config!$B$10)</f>
        <v/>
      </c>
      <c r="BU2">
        <f>TR(tickers!$B$452:$B$476,"TR.Volume.date;TR.Volume",config!$B$10)</f>
        <v/>
      </c>
      <c r="BY2">
        <f>TR(tickers!$B$477:$B$501,"TR.Volume.date;TR.Volume",config!$B$10)</f>
        <v/>
      </c>
      <c r="CC2">
        <f>TR(tickers!$B$502:$B$526,"TR.Volume.date;TR.Volume",config!$B$10)</f>
        <v/>
      </c>
      <c r="CG2">
        <f>TR(tickers!$B$527:$B$551,"TR.Volume.date;TR.Volume",config!$B$10)</f>
        <v/>
      </c>
      <c r="CK2">
        <f>TR(tickers!$B$552:$B$576,"TR.Volume.date;TR.Volume",config!$B$10)</f>
        <v/>
      </c>
      <c r="CO2">
        <f>TR(tickers!$B$577:$B$601,"TR.Volume.date;TR.Volume",config!$B$10)</f>
        <v/>
      </c>
      <c r="CS2">
        <f>TR(tickers!$B$602:$B$626,"TR.Volume.date;TR.Volume",config!$B$10)</f>
        <v/>
      </c>
      <c r="CW2">
        <f>TR(tickers!$B$627:$B$651,"TR.Volume.date;TR.Volume",config!$B$10)</f>
        <v/>
      </c>
      <c r="DA2">
        <f>TR(tickers!$B$652:$B$676,"TR.Volume.date;TR.Volume",config!$B$10)</f>
        <v/>
      </c>
      <c r="DE2">
        <f>TR(tickers!$B$677:$B$701,"TR.Volume.date;TR.Volume",config!$B$10)</f>
        <v/>
      </c>
      <c r="DI2">
        <f>TR(tickers!$B$702:$B$726,"TR.Volume.date;TR.Volume",config!$B$10)</f>
        <v/>
      </c>
      <c r="DM2">
        <f>TR(tickers!$B$727:$B$751,"TR.Volume.date;TR.Volume",config!$B$10)</f>
        <v/>
      </c>
      <c r="DQ2">
        <f>TR(tickers!$B$752:$B$776,"TR.Volume.date;TR.Volume",config!$B$10)</f>
        <v/>
      </c>
      <c r="DU2">
        <f>TR(tickers!$B$777:$B$801,"TR.Volume.date;TR.Volume",config!$B$10)</f>
        <v/>
      </c>
      <c r="DY2">
        <f>TR(tickers!$B$802:$B$826,"TR.Volume.date;TR.Volume",config!$B$10)</f>
        <v/>
      </c>
      <c r="EC2">
        <f>TR(tickers!$B$827:$B$851,"TR.Volume.date;TR.Volume",config!$B$10)</f>
        <v/>
      </c>
      <c r="EG2">
        <f>TR(tickers!$B$852:$B$876,"TR.Volume.date;TR.Volume",config!$B$10)</f>
        <v/>
      </c>
      <c r="EK2">
        <f>TR(tickers!$B$877:$B$901,"TR.Volume.date;TR.Volume",config!$B$10)</f>
        <v/>
      </c>
      <c r="EO2">
        <f>TR(tickers!$B$902:$B$926,"TR.Volume.date;TR.Volume",config!$B$10)</f>
        <v/>
      </c>
      <c r="ES2">
        <f>TR(tickers!$B$927:$B$951,"TR.Volume.date;TR.Volume",config!$B$10)</f>
        <v/>
      </c>
      <c r="EW2">
        <f>TR(tickers!$B$952:$B$976,"TR.Volume.date;TR.Volume",config!$B$10)</f>
        <v/>
      </c>
      <c r="FA2">
        <f>TR(tickers!$B$977:$B$1001,"TR.Volume.date;TR.Volume",config!$B$10)</f>
        <v/>
      </c>
      <c r="FE2">
        <f>TR(tickers!$B$1002:$B$1026,"TR.Volume.date;TR.Volume",config!$B$10)</f>
        <v/>
      </c>
      <c r="FI2">
        <f>TR(tickers!$B$1027:$B$1051,"TR.Volume.date;TR.Volume",config!$B$10)</f>
        <v/>
      </c>
      <c r="FM2">
        <f>TR(tickers!$B$1052:$B$1076,"TR.Volume.date;TR.Volume",config!$B$10)</f>
        <v/>
      </c>
      <c r="FQ2">
        <f>TR(tickers!$B$1077:$B$1101,"TR.Volume.date;TR.Volume",config!$B$10)</f>
        <v/>
      </c>
      <c r="FU2">
        <f>TR(tickers!$B$1102:$B$1126,"TR.Volume.date;TR.Volume",config!$B$10)</f>
        <v/>
      </c>
      <c r="FY2">
        <f>TR(tickers!$B$1127:$B$1151,"TR.Volume.date;TR.Volume",config!$B$10)</f>
        <v/>
      </c>
      <c r="GC2">
        <f>TR(tickers!$B$1152:$B$1176,"TR.Volume.date;TR.Volume",config!$B$10)</f>
        <v/>
      </c>
      <c r="GG2">
        <f>TR(tickers!$B$1177:$B$1201,"TR.Volume.date;TR.Volume",config!$B$10)</f>
        <v/>
      </c>
      <c r="GK2">
        <f>TR(tickers!$B$1202:$B$1226,"TR.Volume.date;TR.Volume",config!$B$10)</f>
        <v/>
      </c>
      <c r="GO2">
        <f>TR(tickers!$B$1227:$B$1251,"TR.Volume.date;TR.Volume",config!$B$10)</f>
        <v/>
      </c>
      <c r="GS2">
        <f>TR(tickers!$B$1252:$B$1276,"TR.Volume.date;TR.Volume",config!$B$10)</f>
        <v/>
      </c>
      <c r="GW2">
        <f>TR(tickers!$B$1277:$B$1301,"TR.Volume.date;TR.Volume",config!$B$10)</f>
        <v/>
      </c>
      <c r="HA2">
        <f>TR(tickers!$B$1302:$B$1326,"TR.Volume.date;TR.Volume",config!$B$10)</f>
        <v/>
      </c>
      <c r="HE2">
        <f>TR(tickers!$B$1327:$B$1351,"TR.Volume.date;TR.Volume",config!$B$10)</f>
        <v/>
      </c>
      <c r="HI2">
        <f>TR(tickers!$B$1352:$B$1376,"TR.Volume.date;TR.Volume",config!$B$10)</f>
        <v/>
      </c>
      <c r="HM2">
        <f>TR(tickers!$B$1377:$B$1401,"TR.Volume.date;TR.Volume",config!$B$10)</f>
        <v/>
      </c>
      <c r="HQ2">
        <f>TR(tickers!$B$1402:$B$1426,"TR.Volume.date;TR.Volume",config!$B$10)</f>
        <v/>
      </c>
      <c r="HU2">
        <f>TR(tickers!$B$1427:$B$1451,"TR.Volume.date;TR.Volume",config!$B$10)</f>
        <v/>
      </c>
      <c r="HY2">
        <f>TR(tickers!$B$1452:$B$1476,"TR.Volume.date;TR.Volume",config!$B$10)</f>
        <v/>
      </c>
      <c r="IC2">
        <f>TR(tickers!$B$1477:$B$1501,"TR.Volume.date;TR.Volume",config!$B$10)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H1" t="inlineStr">
        <is>
          <t>tickers B202:B401</t>
        </is>
      </c>
      <c r="O1" t="inlineStr">
        <is>
          <t>tickers B402:B601</t>
        </is>
      </c>
      <c r="V1" t="inlineStr">
        <is>
          <t>tickers B602:B801</t>
        </is>
      </c>
      <c r="AC1" t="inlineStr">
        <is>
          <t>tickers B802:B1001</t>
        </is>
      </c>
      <c r="AJ1" t="inlineStr">
        <is>
          <t>tickers B1002:B1201</t>
        </is>
      </c>
      <c r="AQ1" t="inlineStr">
        <is>
          <t>tickers B1202:B1401</t>
        </is>
      </c>
      <c r="AX1" t="inlineStr">
        <is>
          <t>tickers B1402:B1601</t>
        </is>
      </c>
    </row>
    <row r="2">
      <c r="A2">
        <f>TR(tickers!$B$2:$B$201,"TR.CommonName;TR.GICSSector;TR.GICSIndustry;TR.FreeFloatPct;TR.SharesOutstanding","CH=Fd RH=IN")</f>
        <v/>
      </c>
      <c r="H2">
        <f>TR(tickers!$B$202:$B$401,"TR.CommonName;TR.GICSSector;TR.GICSIndustry;TR.FreeFloatPct;TR.SharesOutstanding","CH=Fd RH=IN")</f>
        <v/>
      </c>
      <c r="O2">
        <f>TR(tickers!$B$402:$B$601,"TR.CommonName;TR.GICSSector;TR.GICSIndustry;TR.FreeFloatPct;TR.SharesOutstanding","CH=Fd RH=IN")</f>
        <v/>
      </c>
      <c r="V2">
        <f>TR(tickers!$B$602:$B$801,"TR.CommonName;TR.GICSSector;TR.GICSIndustry;TR.FreeFloatPct;TR.SharesOutstanding","CH=Fd RH=IN")</f>
        <v/>
      </c>
      <c r="AC2">
        <f>TR(tickers!$B$802:$B$1001,"TR.CommonName;TR.GICSSector;TR.GICSIndustry;TR.FreeFloatPct;TR.SharesOutstanding","CH=Fd RH=IN")</f>
        <v/>
      </c>
      <c r="AJ2">
        <f>TR(tickers!$B$1002:$B$1201,"TR.CommonName;TR.GICSSector;TR.GICSIndustry;TR.FreeFloatPct;TR.SharesOutstanding","CH=Fd RH=IN")</f>
        <v/>
      </c>
      <c r="AQ2">
        <f>TR(tickers!$B$1202:$B$1401,"TR.CommonName;TR.GICSSector;TR.GICSIndustry;TR.FreeFloatPct;TR.SharesOutstanding","CH=Fd RH=IN")</f>
        <v/>
      </c>
      <c r="AX2">
        <f>TR(tickers!$B$1402:$B$1601,"TR.CommonName;TR.GICSSector;TR.GICSIndustry;TR.FreeFloatPct;TR.SharesOutstanding","CH=Fd RH=IN")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snapshot 2015-02-27</t>
        </is>
      </c>
    </row>
    <row r="2">
      <c r="A2">
        <f>TR(config!$B$3,"TR.IndexConstituentRIC;TR.IndexConstituentWeightPercent;TR.IndexConstituentName","SDate=2015-02-27 CH=Fd RH=IN")</f>
        <v/>
      </c>
    </row>
    <row r="81">
      <c r="A81" t="inlineStr">
        <is>
          <t>snapshot 2015-05-29</t>
        </is>
      </c>
    </row>
    <row r="82">
      <c r="A82">
        <f>TR(config!$B$3,"TR.IndexConstituentRIC;TR.IndexConstituentWeightPercent;TR.IndexConstituentName","SDate=2015-05-29 CH=Fd RH=IN")</f>
        <v/>
      </c>
    </row>
    <row r="161">
      <c r="A161" t="inlineStr">
        <is>
          <t>snapshot 2015-08-31</t>
        </is>
      </c>
    </row>
    <row r="162">
      <c r="A162">
        <f>TR(config!$B$3,"TR.IndexConstituentRIC;TR.IndexConstituentWeightPercent;TR.IndexConstituentName","SDate=2015-08-31 CH=Fd RH=IN")</f>
        <v/>
      </c>
    </row>
    <row r="241">
      <c r="A241" t="inlineStr">
        <is>
          <t>snapshot 2015-11-30</t>
        </is>
      </c>
    </row>
    <row r="242">
      <c r="A242">
        <f>TR(config!$B$3,"TR.IndexConstituentRIC;TR.IndexConstituentWeightPercent;TR.IndexConstituentName","SDate=2015-11-30 CH=Fd RH=IN")</f>
        <v/>
      </c>
    </row>
    <row r="321">
      <c r="A321" t="inlineStr">
        <is>
          <t>snapshot 2016-02-29</t>
        </is>
      </c>
    </row>
    <row r="322">
      <c r="A322">
        <f>TR(config!$B$3,"TR.IndexConstituentRIC;TR.IndexConstituentWeightPercent;TR.IndexConstituentName","SDate=2016-02-29 CH=Fd RH=IN")</f>
        <v/>
      </c>
    </row>
    <row r="401">
      <c r="A401" t="inlineStr">
        <is>
          <t>snapshot 2016-05-31</t>
        </is>
      </c>
    </row>
    <row r="402">
      <c r="A402">
        <f>TR(config!$B$3,"TR.IndexConstituentRIC;TR.IndexConstituentWeightPercent;TR.IndexConstituentName","SDate=2016-05-31 CH=Fd RH=IN")</f>
        <v/>
      </c>
    </row>
    <row r="481">
      <c r="A481" t="inlineStr">
        <is>
          <t>snapshot 2016-08-31</t>
        </is>
      </c>
    </row>
    <row r="482">
      <c r="A482">
        <f>TR(config!$B$3,"TR.IndexConstituentRIC;TR.IndexConstituentWeightPercent;TR.IndexConstituentName","SDate=2016-08-31 CH=Fd RH=IN")</f>
        <v/>
      </c>
    </row>
    <row r="561">
      <c r="A561" t="inlineStr">
        <is>
          <t>snapshot 2016-11-30</t>
        </is>
      </c>
    </row>
    <row r="562">
      <c r="A562">
        <f>TR(config!$B$3,"TR.IndexConstituentRIC;TR.IndexConstituentWeightPercent;TR.IndexConstituentName","SDate=2016-11-30 CH=Fd RH=IN")</f>
        <v/>
      </c>
    </row>
    <row r="641">
      <c r="A641" t="inlineStr">
        <is>
          <t>snapshot 2017-02-28</t>
        </is>
      </c>
    </row>
    <row r="642">
      <c r="A642">
        <f>TR(config!$B$3,"TR.IndexConstituentRIC;TR.IndexConstituentWeightPercent;TR.IndexConstituentName","SDate=2017-02-28 CH=Fd RH=IN")</f>
        <v/>
      </c>
    </row>
    <row r="721">
      <c r="A721" t="inlineStr">
        <is>
          <t>snapshot 2017-05-31</t>
        </is>
      </c>
    </row>
    <row r="722">
      <c r="A722">
        <f>TR(config!$B$3,"TR.IndexConstituentRIC;TR.IndexConstituentWeightPercent;TR.IndexConstituentName","SDate=2017-05-31 CH=Fd RH=IN")</f>
        <v/>
      </c>
    </row>
    <row r="801">
      <c r="A801" t="inlineStr">
        <is>
          <t>snapshot 2017-08-31</t>
        </is>
      </c>
    </row>
    <row r="802">
      <c r="A802">
        <f>TR(config!$B$3,"TR.IndexConstituentRIC;TR.IndexConstituentWeightPercent;TR.IndexConstituentName","SDate=2017-08-31 CH=Fd RH=IN")</f>
        <v/>
      </c>
    </row>
    <row r="881">
      <c r="A881" t="inlineStr">
        <is>
          <t>snapshot 2017-11-30</t>
        </is>
      </c>
    </row>
    <row r="882">
      <c r="A882">
        <f>TR(config!$B$3,"TR.IndexConstituentRIC;TR.IndexConstituentWeightPercent;TR.IndexConstituentName","SDate=2017-11-30 CH=Fd RH=IN")</f>
        <v/>
      </c>
    </row>
    <row r="961">
      <c r="A961" t="inlineStr">
        <is>
          <t>snapshot 2018-02-28</t>
        </is>
      </c>
    </row>
    <row r="962">
      <c r="A962">
        <f>TR(config!$B$3,"TR.IndexConstituentRIC;TR.IndexConstituentWeightPercent;TR.IndexConstituentName","SDate=2018-02-28 CH=Fd RH=IN")</f>
        <v/>
      </c>
    </row>
    <row r="1041">
      <c r="A1041" t="inlineStr">
        <is>
          <t>snapshot 2018-05-31</t>
        </is>
      </c>
    </row>
    <row r="1042">
      <c r="A1042">
        <f>TR(config!$B$3,"TR.IndexConstituentRIC;TR.IndexConstituentWeightPercent;TR.IndexConstituentName","SDate=2018-05-31 CH=Fd RH=IN")</f>
        <v/>
      </c>
    </row>
    <row r="1121">
      <c r="A1121" t="inlineStr">
        <is>
          <t>snapshot 2018-08-31</t>
        </is>
      </c>
    </row>
    <row r="1122">
      <c r="A1122">
        <f>TR(config!$B$3,"TR.IndexConstituentRIC;TR.IndexConstituentWeightPercent;TR.IndexConstituentName","SDate=2018-08-31 CH=Fd RH=IN")</f>
        <v/>
      </c>
    </row>
    <row r="1201">
      <c r="A1201" t="inlineStr">
        <is>
          <t>snapshot 2018-11-30</t>
        </is>
      </c>
    </row>
    <row r="1202">
      <c r="A1202">
        <f>TR(config!$B$3,"TR.IndexConstituentRIC;TR.IndexConstituentWeightPercent;TR.IndexConstituentName","SDate=2018-11-30 CH=Fd RH=IN")</f>
        <v/>
      </c>
    </row>
    <row r="1281">
      <c r="A1281" t="inlineStr">
        <is>
          <t>snapshot 2019-02-28</t>
        </is>
      </c>
    </row>
    <row r="1282">
      <c r="A1282">
        <f>TR(config!$B$3,"TR.IndexConstituentRIC;TR.IndexConstituentWeightPercent;TR.IndexConstituentName","SDate=2019-02-28 CH=Fd RH=IN")</f>
        <v/>
      </c>
    </row>
    <row r="1361">
      <c r="A1361" t="inlineStr">
        <is>
          <t>snapshot 2019-05-31</t>
        </is>
      </c>
    </row>
    <row r="1362">
      <c r="A1362">
        <f>TR(config!$B$3,"TR.IndexConstituentRIC;TR.IndexConstituentWeightPercent;TR.IndexConstituentName","SDate=2019-05-31 CH=Fd RH=IN")</f>
        <v/>
      </c>
    </row>
    <row r="1441">
      <c r="A1441" t="inlineStr">
        <is>
          <t>snapshot 2019-08-30</t>
        </is>
      </c>
    </row>
    <row r="1442">
      <c r="A1442">
        <f>TR(config!$B$3,"TR.IndexConstituentRIC;TR.IndexConstituentWeightPercent;TR.IndexConstituentName","SDate=2019-08-30 CH=Fd RH=IN")</f>
        <v/>
      </c>
    </row>
    <row r="1521">
      <c r="A1521" t="inlineStr">
        <is>
          <t>snapshot 2019-11-29</t>
        </is>
      </c>
    </row>
    <row r="1522">
      <c r="A1522">
        <f>TR(config!$B$3,"TR.IndexConstituentRIC;TR.IndexConstituentWeightPercent;TR.IndexConstituentName","SDate=2019-11-29 CH=Fd RH=IN")</f>
        <v/>
      </c>
    </row>
    <row r="1601">
      <c r="A1601" t="inlineStr">
        <is>
          <t>snapshot 2020-02-28</t>
        </is>
      </c>
    </row>
    <row r="1602">
      <c r="A1602">
        <f>TR(config!$B$3,"TR.IndexConstituentRIC;TR.IndexConstituentWeightPercent;TR.IndexConstituentName","SDate=2020-02-28 CH=Fd RH=IN")</f>
        <v/>
      </c>
    </row>
    <row r="1681">
      <c r="A1681" t="inlineStr">
        <is>
          <t>snapshot 2020-05-29</t>
        </is>
      </c>
    </row>
    <row r="1682">
      <c r="A1682">
        <f>TR(config!$B$3,"TR.IndexConstituentRIC;TR.IndexConstituentWeightPercent;TR.IndexConstituentName","SDate=2020-05-29 CH=Fd RH=IN")</f>
        <v/>
      </c>
    </row>
    <row r="1761">
      <c r="A1761" t="inlineStr">
        <is>
          <t>snapshot 2020-08-31</t>
        </is>
      </c>
    </row>
    <row r="1762">
      <c r="A1762">
        <f>TR(config!$B$3,"TR.IndexConstituentRIC;TR.IndexConstituentWeightPercent;TR.IndexConstituentName","SDate=2020-08-31 CH=Fd RH=IN")</f>
        <v/>
      </c>
    </row>
    <row r="1841">
      <c r="A1841" t="inlineStr">
        <is>
          <t>snapshot 2020-11-30</t>
        </is>
      </c>
    </row>
    <row r="1842">
      <c r="A1842">
        <f>TR(config!$B$3,"TR.IndexConstituentRIC;TR.IndexConstituentWeightPercent;TR.IndexConstituentName","SDate=2020-11-30 CH=Fd RH=IN")</f>
        <v/>
      </c>
    </row>
    <row r="1921">
      <c r="A1921" t="inlineStr">
        <is>
          <t>snapshot 2021-02-26</t>
        </is>
      </c>
    </row>
    <row r="1922">
      <c r="A1922">
        <f>TR(config!$B$3,"TR.IndexConstituentRIC;TR.IndexConstituentWeightPercent;TR.IndexConstituentName","SDate=2021-02-26 CH=Fd RH=IN")</f>
        <v/>
      </c>
    </row>
    <row r="2001">
      <c r="A2001" t="inlineStr">
        <is>
          <t>snapshot 2021-05-31</t>
        </is>
      </c>
    </row>
    <row r="2002">
      <c r="A2002">
        <f>TR(config!$B$3,"TR.IndexConstituentRIC;TR.IndexConstituentWeightPercent;TR.IndexConstituentName","SDate=2021-05-31 CH=Fd RH=IN")</f>
        <v/>
      </c>
    </row>
    <row r="2081">
      <c r="A2081" t="inlineStr">
        <is>
          <t>snapshot 2021-08-31</t>
        </is>
      </c>
    </row>
    <row r="2082">
      <c r="A2082">
        <f>TR(config!$B$3,"TR.IndexConstituentRIC;TR.IndexConstituentWeightPercent;TR.IndexConstituentName","SDate=2021-08-31 CH=Fd RH=IN")</f>
        <v/>
      </c>
    </row>
    <row r="2161">
      <c r="A2161" t="inlineStr">
        <is>
          <t>snapshot 2021-11-30</t>
        </is>
      </c>
    </row>
    <row r="2162">
      <c r="A2162">
        <f>TR(config!$B$3,"TR.IndexConstituentRIC;TR.IndexConstituentWeightPercent;TR.IndexConstituentName","SDate=2021-11-30 CH=Fd RH=IN")</f>
        <v/>
      </c>
    </row>
    <row r="2241">
      <c r="A2241" t="inlineStr">
        <is>
          <t>snapshot 2022-02-28</t>
        </is>
      </c>
    </row>
    <row r="2242">
      <c r="A2242">
        <f>TR(config!$B$3,"TR.IndexConstituentRIC;TR.IndexConstituentWeightPercent;TR.IndexConstituentName","SDate=2022-02-28 CH=Fd RH=IN")</f>
        <v/>
      </c>
    </row>
    <row r="2321">
      <c r="A2321" t="inlineStr">
        <is>
          <t>snapshot 2022-05-31</t>
        </is>
      </c>
    </row>
    <row r="2322">
      <c r="A2322">
        <f>TR(config!$B$3,"TR.IndexConstituentRIC;TR.IndexConstituentWeightPercent;TR.IndexConstituentName","SDate=2022-05-31 CH=Fd RH=IN")</f>
        <v/>
      </c>
    </row>
    <row r="2401">
      <c r="A2401" t="inlineStr">
        <is>
          <t>snapshot 2022-08-31</t>
        </is>
      </c>
    </row>
    <row r="2402">
      <c r="A2402">
        <f>TR(config!$B$3,"TR.IndexConstituentRIC;TR.IndexConstituentWeightPercent;TR.IndexConstituentName","SDate=2022-08-31 CH=Fd RH=IN")</f>
        <v/>
      </c>
    </row>
    <row r="2481">
      <c r="A2481" t="inlineStr">
        <is>
          <t>snapshot 2022-11-30</t>
        </is>
      </c>
    </row>
    <row r="2482">
      <c r="A2482">
        <f>TR(config!$B$3,"TR.IndexConstituentRIC;TR.IndexConstituentWeightPercent;TR.IndexConstituentName","SDate=2022-11-30 CH=Fd RH=IN")</f>
        <v/>
      </c>
    </row>
    <row r="2561">
      <c r="A2561" t="inlineStr">
        <is>
          <t>snapshot 2023-02-28</t>
        </is>
      </c>
    </row>
    <row r="2562">
      <c r="A2562">
        <f>TR(config!$B$3,"TR.IndexConstituentRIC;TR.IndexConstituentWeightPercent;TR.IndexConstituentName","SDate=2023-02-28 CH=Fd RH=IN")</f>
        <v/>
      </c>
    </row>
    <row r="2641">
      <c r="A2641" t="inlineStr">
        <is>
          <t>snapshot 2023-05-31</t>
        </is>
      </c>
    </row>
    <row r="2642">
      <c r="A2642">
        <f>TR(config!$B$3,"TR.IndexConstituentRIC;TR.IndexConstituentWeightPercent;TR.IndexConstituentName","SDate=2023-05-31 CH=Fd RH=IN")</f>
        <v/>
      </c>
    </row>
    <row r="2721">
      <c r="A2721" t="inlineStr">
        <is>
          <t>snapshot 2023-08-31</t>
        </is>
      </c>
    </row>
    <row r="2722">
      <c r="A2722">
        <f>TR(config!$B$3,"TR.IndexConstituentRIC;TR.IndexConstituentWeightPercent;TR.IndexConstituentName","SDate=2023-08-31 CH=Fd RH=IN")</f>
        <v/>
      </c>
    </row>
    <row r="2801">
      <c r="A2801" t="inlineStr">
        <is>
          <t>snapshot 2023-11-30</t>
        </is>
      </c>
    </row>
    <row r="2802">
      <c r="A2802">
        <f>TR(config!$B$3,"TR.IndexConstituentRIC;TR.IndexConstituentWeightPercent;TR.IndexConstituentName","SDate=2023-11-30 CH=Fd RH=IN")</f>
        <v/>
      </c>
    </row>
    <row r="2881">
      <c r="A2881" t="inlineStr">
        <is>
          <t>snapshot 2024-02-29</t>
        </is>
      </c>
    </row>
    <row r="2882">
      <c r="A2882">
        <f>TR(config!$B$3,"TR.IndexConstituentRIC;TR.IndexConstituentWeightPercent;TR.IndexConstituentName","SDate=2024-02-29 CH=Fd RH=IN")</f>
        <v/>
      </c>
    </row>
    <row r="2961">
      <c r="A2961" t="inlineStr">
        <is>
          <t>snapshot 2024-05-31</t>
        </is>
      </c>
    </row>
    <row r="2962">
      <c r="A2962">
        <f>TR(config!$B$3,"TR.IndexConstituentRIC;TR.IndexConstituentWeightPercent;TR.IndexConstituentName","SDate=2024-05-31 CH=Fd RH=IN")</f>
        <v/>
      </c>
    </row>
    <row r="3041">
      <c r="A3041" t="inlineStr">
        <is>
          <t>snapshot 2024-08-30</t>
        </is>
      </c>
    </row>
    <row r="3042">
      <c r="A3042">
        <f>TR(config!$B$3,"TR.IndexConstituentRIC;TR.IndexConstituentWeightPercent;TR.IndexConstituentName","SDate=2024-08-30 CH=Fd RH=IN")</f>
        <v/>
      </c>
    </row>
    <row r="3121">
      <c r="A3121" t="inlineStr">
        <is>
          <t>snapshot 2024-11-29</t>
        </is>
      </c>
    </row>
    <row r="3122">
      <c r="A3122">
        <f>TR(config!$B$3,"TR.IndexConstituentRIC;TR.IndexConstituentWeightPercent;TR.IndexConstituentName","SDate=2024-11-29 CH=Fd RH=IN")</f>
        <v/>
      </c>
    </row>
    <row r="3201">
      <c r="A3201" t="inlineStr">
        <is>
          <t>snapshot 2025-02-28</t>
        </is>
      </c>
    </row>
    <row r="3202">
      <c r="A3202">
        <f>TR(config!$B$3,"TR.IndexConstituentRIC;TR.IndexConstituentWeightPercent;TR.IndexConstituentName","SDate=2025-02-28 CH=Fd RH=IN")</f>
        <v/>
      </c>
    </row>
    <row r="3281">
      <c r="A3281" t="inlineStr">
        <is>
          <t>snapshot 2025-05-30</t>
        </is>
      </c>
    </row>
    <row r="3282">
      <c r="A3282">
        <f>TR(config!$B$3,"TR.IndexConstituentRIC;TR.IndexConstituentWeightPercent;TR.IndexConstituentName","SDate=2025-05-30 CH=Fd RH=IN")</f>
        <v/>
      </c>
    </row>
    <row r="3361">
      <c r="A3361" t="inlineStr">
        <is>
          <t>snapshot 2025-08-29</t>
        </is>
      </c>
    </row>
    <row r="3362">
      <c r="A3362">
        <f>TR(config!$B$3,"TR.IndexConstituentRIC;TR.IndexConstituentWeightPercent;TR.IndexConstituentName","SDate=2025-08-29 CH=Fd RH=IN")</f>
        <v/>
      </c>
    </row>
    <row r="3441">
      <c r="A3441" t="inlineStr">
        <is>
          <t>snapshot 2025-11-28</t>
        </is>
      </c>
    </row>
    <row r="3442">
      <c r="A3442">
        <f>TR(config!$B$3,"TR.IndexConstituentRIC;TR.IndexConstituentWeightPercent;TR.IndexConstituentName","SDate=2025-11-28 CH=Fd RH=IN")</f>
        <v/>
      </c>
    </row>
    <row r="3521">
      <c r="A3521" t="inlineStr">
        <is>
          <t>snapshot 2026-01-27</t>
        </is>
      </c>
    </row>
    <row r="3522">
      <c r="A3522">
        <f>TR(config!$B$3,"TR.IndexConstituentRIC;TR.IndexConstituentWeightPercent;TR.IndexConstituentName","SDate=2026-01-27 CH=Fd RH=IN")</f>
        <v/>
      </c>
    </row>
    <row r="3601">
      <c r="A3601" t="inlineStr">
        <is>
          <t>snapshot 2026-02-06</t>
        </is>
      </c>
    </row>
    <row r="3602">
      <c r="A3602">
        <f>TR(config!$B$3,"TR.IndexConstituentRIC;TR.IndexConstituentWeightPercent;TR.IndexConstituentName","SDate=2026-02-06 CH=Fd RH=IN")</f>
        <v/>
      </c>
    </row>
    <row r="3681">
      <c r="A3681" t="inlineStr">
        <is>
          <t>snapshot 2026-02-27</t>
        </is>
      </c>
    </row>
    <row r="3682">
      <c r="A3682">
        <f>TR(config!$B$3,"TR.IndexConstituentRIC;TR.IndexConstituentWeightPercent;TR.IndexConstituentName","SDate=2026-02-27 CH=Fd RH=IN")</f>
        <v/>
      </c>
    </row>
    <row r="3761">
      <c r="A3761" t="inlineStr">
        <is>
          <t>snapshot 2026-05-29</t>
        </is>
      </c>
    </row>
    <row r="3762">
      <c r="A3762">
        <f>TR(config!$B$3,"TR.IndexConstituentRIC;TR.IndexConstituentWeightPercent;TR.IndexConstituentName","SDate=2026-05-29 CH=Fd RH=IN")</f>
        <v/>
      </c>
    </row>
    <row r="3841">
      <c r="A3841" t="inlineStr">
        <is>
          <t>snapshot 2026-08-31</t>
        </is>
      </c>
    </row>
    <row r="3842">
      <c r="A3842">
        <f>TR(config!$B$3,"TR.IndexConstituentRIC;TR.IndexConstituentWeightPercent;TR.IndexConstituentName","SDate=2026-08-31 CH=Fd RH=IN")</f>
        <v/>
      </c>
    </row>
    <row r="3921">
      <c r="A3921" t="inlineStr">
        <is>
          <t>snapshot 2026-10-06</t>
        </is>
      </c>
    </row>
    <row r="3922">
      <c r="A3922">
        <f>TR(config!$B$3,"TR.IndexConstituentRIC;TR.IndexConstituentWeightPercent;TR.IndexConstituentName","SDate=2026-10-06 CH=Fd RH=IN")</f>
        <v/>
      </c>
    </row>
    <row r="4001">
      <c r="A4001" t="inlineStr">
        <is>
          <t>snapshot 2026-10-15</t>
        </is>
      </c>
    </row>
    <row r="4002">
      <c r="A4002">
        <f>TR(config!$B$3,"TR.IndexConstituentRIC;TR.IndexConstituentWeightPercent;TR.IndexConstituentName","SDate=2026-10-15 CH=Fd RH=IN")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snapshot 2015-02-27</t>
        </is>
      </c>
    </row>
    <row r="2">
      <c r="A2">
        <f>TR(config!$B$4,"TR.IndexConstituentRIC;TR.IndexConstituentWeightPercent;TR.IndexConstituentName","SDate=2015-02-27 CH=Fd RH=IN")</f>
        <v/>
      </c>
    </row>
    <row r="81">
      <c r="A81" t="inlineStr">
        <is>
          <t>snapshot 2015-05-29</t>
        </is>
      </c>
    </row>
    <row r="82">
      <c r="A82">
        <f>TR(config!$B$4,"TR.IndexConstituentRIC;TR.IndexConstituentWeightPercent;TR.IndexConstituentName","SDate=2015-05-29 CH=Fd RH=IN")</f>
        <v/>
      </c>
    </row>
    <row r="161">
      <c r="A161" t="inlineStr">
        <is>
          <t>snapshot 2015-08-31</t>
        </is>
      </c>
    </row>
    <row r="162">
      <c r="A162">
        <f>TR(config!$B$4,"TR.IndexConstituentRIC;TR.IndexConstituentWeightPercent;TR.IndexConstituentName","SDate=2015-08-31 CH=Fd RH=IN")</f>
        <v/>
      </c>
    </row>
    <row r="241">
      <c r="A241" t="inlineStr">
        <is>
          <t>snapshot 2015-11-30</t>
        </is>
      </c>
    </row>
    <row r="242">
      <c r="A242">
        <f>TR(config!$B$4,"TR.IndexConstituentRIC;TR.IndexConstituentWeightPercent;TR.IndexConstituentName","SDate=2015-11-30 CH=Fd RH=IN")</f>
        <v/>
      </c>
    </row>
    <row r="321">
      <c r="A321" t="inlineStr">
        <is>
          <t>snapshot 2016-02-29</t>
        </is>
      </c>
    </row>
    <row r="322">
      <c r="A322">
        <f>TR(config!$B$4,"TR.IndexConstituentRIC;TR.IndexConstituentWeightPercent;TR.IndexConstituentName","SDate=2016-02-29 CH=Fd RH=IN")</f>
        <v/>
      </c>
    </row>
    <row r="401">
      <c r="A401" t="inlineStr">
        <is>
          <t>snapshot 2016-05-31</t>
        </is>
      </c>
    </row>
    <row r="402">
      <c r="A402">
        <f>TR(config!$B$4,"TR.IndexConstituentRIC;TR.IndexConstituentWeightPercent;TR.IndexConstituentName","SDate=2016-05-31 CH=Fd RH=IN")</f>
        <v/>
      </c>
    </row>
    <row r="481">
      <c r="A481" t="inlineStr">
        <is>
          <t>snapshot 2016-08-31</t>
        </is>
      </c>
    </row>
    <row r="482">
      <c r="A482">
        <f>TR(config!$B$4,"TR.IndexConstituentRIC;TR.IndexConstituentWeightPercent;TR.IndexConstituentName","SDate=2016-08-31 CH=Fd RH=IN")</f>
        <v/>
      </c>
    </row>
    <row r="561">
      <c r="A561" t="inlineStr">
        <is>
          <t>snapshot 2016-11-30</t>
        </is>
      </c>
    </row>
    <row r="562">
      <c r="A562">
        <f>TR(config!$B$4,"TR.IndexConstituentRIC;TR.IndexConstituentWeightPercent;TR.IndexConstituentName","SDate=2016-11-30 CH=Fd RH=IN")</f>
        <v/>
      </c>
    </row>
    <row r="641">
      <c r="A641" t="inlineStr">
        <is>
          <t>snapshot 2017-02-28</t>
        </is>
      </c>
    </row>
    <row r="642">
      <c r="A642">
        <f>TR(config!$B$4,"TR.IndexConstituentRIC;TR.IndexConstituentWeightPercent;TR.IndexConstituentName","SDate=2017-02-28 CH=Fd RH=IN")</f>
        <v/>
      </c>
    </row>
    <row r="721">
      <c r="A721" t="inlineStr">
        <is>
          <t>snapshot 2017-05-31</t>
        </is>
      </c>
    </row>
    <row r="722">
      <c r="A722">
        <f>TR(config!$B$4,"TR.IndexConstituentRIC;TR.IndexConstituentWeightPercent;TR.IndexConstituentName","SDate=2017-05-31 CH=Fd RH=IN")</f>
        <v/>
      </c>
    </row>
    <row r="801">
      <c r="A801" t="inlineStr">
        <is>
          <t>snapshot 2017-08-31</t>
        </is>
      </c>
    </row>
    <row r="802">
      <c r="A802">
        <f>TR(config!$B$4,"TR.IndexConstituentRIC;TR.IndexConstituentWeightPercent;TR.IndexConstituentName","SDate=2017-08-31 CH=Fd RH=IN")</f>
        <v/>
      </c>
    </row>
    <row r="881">
      <c r="A881" t="inlineStr">
        <is>
          <t>snapshot 2017-11-30</t>
        </is>
      </c>
    </row>
    <row r="882">
      <c r="A882">
        <f>TR(config!$B$4,"TR.IndexConstituentRIC;TR.IndexConstituentWeightPercent;TR.IndexConstituentName","SDate=2017-11-30 CH=Fd RH=IN")</f>
        <v/>
      </c>
    </row>
    <row r="961">
      <c r="A961" t="inlineStr">
        <is>
          <t>snapshot 2018-02-28</t>
        </is>
      </c>
    </row>
    <row r="962">
      <c r="A962">
        <f>TR(config!$B$4,"TR.IndexConstituentRIC;TR.IndexConstituentWeightPercent;TR.IndexConstituentName","SDate=2018-02-28 CH=Fd RH=IN")</f>
        <v/>
      </c>
    </row>
    <row r="1041">
      <c r="A1041" t="inlineStr">
        <is>
          <t>snapshot 2018-05-31</t>
        </is>
      </c>
    </row>
    <row r="1042">
      <c r="A1042">
        <f>TR(config!$B$4,"TR.IndexConstituentRIC;TR.IndexConstituentWeightPercent;TR.IndexConstituentName","SDate=2018-05-31 CH=Fd RH=IN")</f>
        <v/>
      </c>
    </row>
    <row r="1121">
      <c r="A1121" t="inlineStr">
        <is>
          <t>snapshot 2018-08-31</t>
        </is>
      </c>
    </row>
    <row r="1122">
      <c r="A1122">
        <f>TR(config!$B$4,"TR.IndexConstituentRIC;TR.IndexConstituentWeightPercent;TR.IndexConstituentName","SDate=2018-08-31 CH=Fd RH=IN")</f>
        <v/>
      </c>
    </row>
    <row r="1201">
      <c r="A1201" t="inlineStr">
        <is>
          <t>snapshot 2018-11-30</t>
        </is>
      </c>
    </row>
    <row r="1202">
      <c r="A1202">
        <f>TR(config!$B$4,"TR.IndexConstituentRIC;TR.IndexConstituentWeightPercent;TR.IndexConstituentName","SDate=2018-11-30 CH=Fd RH=IN")</f>
        <v/>
      </c>
    </row>
    <row r="1281">
      <c r="A1281" t="inlineStr">
        <is>
          <t>snapshot 2019-02-28</t>
        </is>
      </c>
    </row>
    <row r="1282">
      <c r="A1282">
        <f>TR(config!$B$4,"TR.IndexConstituentRIC;TR.IndexConstituentWeightPercent;TR.IndexConstituentName","SDate=2019-02-28 CH=Fd RH=IN")</f>
        <v/>
      </c>
    </row>
    <row r="1361">
      <c r="A1361" t="inlineStr">
        <is>
          <t>snapshot 2019-05-31</t>
        </is>
      </c>
    </row>
    <row r="1362">
      <c r="A1362">
        <f>TR(config!$B$4,"TR.IndexConstituentRIC;TR.IndexConstituentWeightPercent;TR.IndexConstituentName","SDate=2019-05-31 CH=Fd RH=IN")</f>
        <v/>
      </c>
    </row>
    <row r="1441">
      <c r="A1441" t="inlineStr">
        <is>
          <t>snapshot 2019-08-30</t>
        </is>
      </c>
    </row>
    <row r="1442">
      <c r="A1442">
        <f>TR(config!$B$4,"TR.IndexConstituentRIC;TR.IndexConstituentWeightPercent;TR.IndexConstituentName","SDate=2019-08-30 CH=Fd RH=IN")</f>
        <v/>
      </c>
    </row>
    <row r="1521">
      <c r="A1521" t="inlineStr">
        <is>
          <t>snapshot 2019-11-29</t>
        </is>
      </c>
    </row>
    <row r="1522">
      <c r="A1522">
        <f>TR(config!$B$4,"TR.IndexConstituentRIC;TR.IndexConstituentWeightPercent;TR.IndexConstituentName","SDate=2019-11-29 CH=Fd RH=IN")</f>
        <v/>
      </c>
    </row>
    <row r="1601">
      <c r="A1601" t="inlineStr">
        <is>
          <t>snapshot 2020-02-28</t>
        </is>
      </c>
    </row>
    <row r="1602">
      <c r="A1602">
        <f>TR(config!$B$4,"TR.IndexConstituentRIC;TR.IndexConstituentWeightPercent;TR.IndexConstituentName","SDate=2020-02-28 CH=Fd RH=IN")</f>
        <v/>
      </c>
    </row>
    <row r="1681">
      <c r="A1681" t="inlineStr">
        <is>
          <t>snapshot 2020-05-29</t>
        </is>
      </c>
    </row>
    <row r="1682">
      <c r="A1682">
        <f>TR(config!$B$4,"TR.IndexConstituentRIC;TR.IndexConstituentWeightPercent;TR.IndexConstituentName","SDate=2020-05-29 CH=Fd RH=IN")</f>
        <v/>
      </c>
    </row>
    <row r="1761">
      <c r="A1761" t="inlineStr">
        <is>
          <t>snapshot 2020-08-31</t>
        </is>
      </c>
    </row>
    <row r="1762">
      <c r="A1762">
        <f>TR(config!$B$4,"TR.IndexConstituentRIC;TR.IndexConstituentWeightPercent;TR.IndexConstituentName","SDate=2020-08-31 CH=Fd RH=IN")</f>
        <v/>
      </c>
    </row>
    <row r="1841">
      <c r="A1841" t="inlineStr">
        <is>
          <t>snapshot 2020-11-30</t>
        </is>
      </c>
    </row>
    <row r="1842">
      <c r="A1842">
        <f>TR(config!$B$4,"TR.IndexConstituentRIC;TR.IndexConstituentWeightPercent;TR.IndexConstituentName","SDate=2020-11-30 CH=Fd RH=IN")</f>
        <v/>
      </c>
    </row>
    <row r="1921">
      <c r="A1921" t="inlineStr">
        <is>
          <t>snapshot 2021-02-26</t>
        </is>
      </c>
    </row>
    <row r="1922">
      <c r="A1922">
        <f>TR(config!$B$4,"TR.IndexConstituentRIC;TR.IndexConstituentWeightPercent;TR.IndexConstituentName","SDate=2021-02-26 CH=Fd RH=IN")</f>
        <v/>
      </c>
    </row>
    <row r="2001">
      <c r="A2001" t="inlineStr">
        <is>
          <t>snapshot 2021-05-31</t>
        </is>
      </c>
    </row>
    <row r="2002">
      <c r="A2002">
        <f>TR(config!$B$4,"TR.IndexConstituentRIC;TR.IndexConstituentWeightPercent;TR.IndexConstituentName","SDate=2021-05-31 CH=Fd RH=IN")</f>
        <v/>
      </c>
    </row>
    <row r="2081">
      <c r="A2081" t="inlineStr">
        <is>
          <t>snapshot 2021-08-31</t>
        </is>
      </c>
    </row>
    <row r="2082">
      <c r="A2082">
        <f>TR(config!$B$4,"TR.IndexConstituentRIC;TR.IndexConstituentWeightPercent;TR.IndexConstituentName","SDate=2021-08-31 CH=Fd RH=IN")</f>
        <v/>
      </c>
    </row>
    <row r="2161">
      <c r="A2161" t="inlineStr">
        <is>
          <t>snapshot 2021-11-30</t>
        </is>
      </c>
    </row>
    <row r="2162">
      <c r="A2162">
        <f>TR(config!$B$4,"TR.IndexConstituentRIC;TR.IndexConstituentWeightPercent;TR.IndexConstituentName","SDate=2021-11-30 CH=Fd RH=IN")</f>
        <v/>
      </c>
    </row>
    <row r="2241">
      <c r="A2241" t="inlineStr">
        <is>
          <t>snapshot 2022-02-28</t>
        </is>
      </c>
    </row>
    <row r="2242">
      <c r="A2242">
        <f>TR(config!$B$4,"TR.IndexConstituentRIC;TR.IndexConstituentWeightPercent;TR.IndexConstituentName","SDate=2022-02-28 CH=Fd RH=IN")</f>
        <v/>
      </c>
    </row>
    <row r="2321">
      <c r="A2321" t="inlineStr">
        <is>
          <t>snapshot 2022-05-31</t>
        </is>
      </c>
    </row>
    <row r="2322">
      <c r="A2322">
        <f>TR(config!$B$4,"TR.IndexConstituentRIC;TR.IndexConstituentWeightPercent;TR.IndexConstituentName","SDate=2022-05-31 CH=Fd RH=IN")</f>
        <v/>
      </c>
    </row>
    <row r="2401">
      <c r="A2401" t="inlineStr">
        <is>
          <t>snapshot 2022-08-31</t>
        </is>
      </c>
    </row>
    <row r="2402">
      <c r="A2402">
        <f>TR(config!$B$4,"TR.IndexConstituentRIC;TR.IndexConstituentWeightPercent;TR.IndexConstituentName","SDate=2022-08-31 CH=Fd RH=IN")</f>
        <v/>
      </c>
    </row>
    <row r="2481">
      <c r="A2481" t="inlineStr">
        <is>
          <t>snapshot 2022-11-30</t>
        </is>
      </c>
    </row>
    <row r="2482">
      <c r="A2482">
        <f>TR(config!$B$4,"TR.IndexConstituentRIC;TR.IndexConstituentWeightPercent;TR.IndexConstituentName","SDate=2022-11-30 CH=Fd RH=IN")</f>
        <v/>
      </c>
    </row>
    <row r="2561">
      <c r="A2561" t="inlineStr">
        <is>
          <t>snapshot 2023-02-28</t>
        </is>
      </c>
    </row>
    <row r="2562">
      <c r="A2562">
        <f>TR(config!$B$4,"TR.IndexConstituentRIC;TR.IndexConstituentWeightPercent;TR.IndexConstituentName","SDate=2023-02-28 CH=Fd RH=IN")</f>
        <v/>
      </c>
    </row>
    <row r="2641">
      <c r="A2641" t="inlineStr">
        <is>
          <t>snapshot 2023-05-31</t>
        </is>
      </c>
    </row>
    <row r="2642">
      <c r="A2642">
        <f>TR(config!$B$4,"TR.IndexConstituentRIC;TR.IndexConstituentWeightPercent;TR.IndexConstituentName","SDate=2023-05-31 CH=Fd RH=IN")</f>
        <v/>
      </c>
    </row>
    <row r="2721">
      <c r="A2721" t="inlineStr">
        <is>
          <t>snapshot 2023-08-31</t>
        </is>
      </c>
    </row>
    <row r="2722">
      <c r="A2722">
        <f>TR(config!$B$4,"TR.IndexConstituentRIC;TR.IndexConstituentWeightPercent;TR.IndexConstituentName","SDate=2023-08-31 CH=Fd RH=IN")</f>
        <v/>
      </c>
    </row>
    <row r="2801">
      <c r="A2801" t="inlineStr">
        <is>
          <t>snapshot 2023-11-30</t>
        </is>
      </c>
    </row>
    <row r="2802">
      <c r="A2802">
        <f>TR(config!$B$4,"TR.IndexConstituentRIC;TR.IndexConstituentWeightPercent;TR.IndexConstituentName","SDate=2023-11-30 CH=Fd RH=IN")</f>
        <v/>
      </c>
    </row>
    <row r="2881">
      <c r="A2881" t="inlineStr">
        <is>
          <t>snapshot 2024-02-29</t>
        </is>
      </c>
    </row>
    <row r="2882">
      <c r="A2882">
        <f>TR(config!$B$4,"TR.IndexConstituentRIC;TR.IndexConstituentWeightPercent;TR.IndexConstituentName","SDate=2024-02-29 CH=Fd RH=IN")</f>
        <v/>
      </c>
    </row>
    <row r="2961">
      <c r="A2961" t="inlineStr">
        <is>
          <t>snapshot 2024-05-31</t>
        </is>
      </c>
    </row>
    <row r="2962">
      <c r="A2962">
        <f>TR(config!$B$4,"TR.IndexConstituentRIC;TR.IndexConstituentWeightPercent;TR.IndexConstituentName","SDate=2024-05-31 CH=Fd RH=IN")</f>
        <v/>
      </c>
    </row>
    <row r="3041">
      <c r="A3041" t="inlineStr">
        <is>
          <t>snapshot 2024-08-30</t>
        </is>
      </c>
    </row>
    <row r="3042">
      <c r="A3042">
        <f>TR(config!$B$4,"TR.IndexConstituentRIC;TR.IndexConstituentWeightPercent;TR.IndexConstituentName","SDate=2024-08-30 CH=Fd RH=IN")</f>
        <v/>
      </c>
    </row>
    <row r="3121">
      <c r="A3121" t="inlineStr">
        <is>
          <t>snapshot 2024-11-29</t>
        </is>
      </c>
    </row>
    <row r="3122">
      <c r="A3122">
        <f>TR(config!$B$4,"TR.IndexConstituentRIC;TR.IndexConstituentWeightPercent;TR.IndexConstituentName","SDate=2024-11-29 CH=Fd RH=IN")</f>
        <v/>
      </c>
    </row>
    <row r="3201">
      <c r="A3201" t="inlineStr">
        <is>
          <t>snapshot 2025-02-28</t>
        </is>
      </c>
    </row>
    <row r="3202">
      <c r="A3202">
        <f>TR(config!$B$4,"TR.IndexConstituentRIC;TR.IndexConstituentWeightPercent;TR.IndexConstituentName","SDate=2025-02-28 CH=Fd RH=IN")</f>
        <v/>
      </c>
    </row>
    <row r="3281">
      <c r="A3281" t="inlineStr">
        <is>
          <t>snapshot 2025-05-30</t>
        </is>
      </c>
    </row>
    <row r="3282">
      <c r="A3282">
        <f>TR(config!$B$4,"TR.IndexConstituentRIC;TR.IndexConstituentWeightPercent;TR.IndexConstituentName","SDate=2025-05-30 CH=Fd RH=IN")</f>
        <v/>
      </c>
    </row>
    <row r="3361">
      <c r="A3361" t="inlineStr">
        <is>
          <t>snapshot 2025-08-29</t>
        </is>
      </c>
    </row>
    <row r="3362">
      <c r="A3362">
        <f>TR(config!$B$4,"TR.IndexConstituentRIC;TR.IndexConstituentWeightPercent;TR.IndexConstituentName","SDate=2025-08-29 CH=Fd RH=IN")</f>
        <v/>
      </c>
    </row>
    <row r="3441">
      <c r="A3441" t="inlineStr">
        <is>
          <t>snapshot 2025-11-28</t>
        </is>
      </c>
    </row>
    <row r="3442">
      <c r="A3442">
        <f>TR(config!$B$4,"TR.IndexConstituentRIC;TR.IndexConstituentWeightPercent;TR.IndexConstituentName","SDate=2025-11-28 CH=Fd RH=IN")</f>
        <v/>
      </c>
    </row>
    <row r="3521">
      <c r="A3521" t="inlineStr">
        <is>
          <t>snapshot 2026-01-27</t>
        </is>
      </c>
    </row>
    <row r="3522">
      <c r="A3522">
        <f>TR(config!$B$4,"TR.IndexConstituentRIC;TR.IndexConstituentWeightPercent;TR.IndexConstituentName","SDate=2026-01-27 CH=Fd RH=IN")</f>
        <v/>
      </c>
    </row>
    <row r="3601">
      <c r="A3601" t="inlineStr">
        <is>
          <t>snapshot 2026-02-06</t>
        </is>
      </c>
    </row>
    <row r="3602">
      <c r="A3602">
        <f>TR(config!$B$4,"TR.IndexConstituentRIC;TR.IndexConstituentWeightPercent;TR.IndexConstituentName","SDate=2026-02-06 CH=Fd RH=IN")</f>
        <v/>
      </c>
    </row>
    <row r="3681">
      <c r="A3681" t="inlineStr">
        <is>
          <t>snapshot 2026-02-27</t>
        </is>
      </c>
    </row>
    <row r="3682">
      <c r="A3682">
        <f>TR(config!$B$4,"TR.IndexConstituentRIC;TR.IndexConstituentWeightPercent;TR.IndexConstituentName","SDate=2026-02-27 CH=Fd RH=IN")</f>
        <v/>
      </c>
    </row>
    <row r="3761">
      <c r="A3761" t="inlineStr">
        <is>
          <t>snapshot 2026-05-29</t>
        </is>
      </c>
    </row>
    <row r="3762">
      <c r="A3762">
        <f>TR(config!$B$4,"TR.IndexConstituentRIC;TR.IndexConstituentWeightPercent;TR.IndexConstituentName","SDate=2026-05-29 CH=Fd RH=IN")</f>
        <v/>
      </c>
    </row>
    <row r="3841">
      <c r="A3841" t="inlineStr">
        <is>
          <t>snapshot 2026-08-31</t>
        </is>
      </c>
    </row>
    <row r="3842">
      <c r="A3842">
        <f>TR(config!$B$4,"TR.IndexConstituentRIC;TR.IndexConstituentWeightPercent;TR.IndexConstituentName","SDate=2026-08-31 CH=Fd RH=IN")</f>
        <v/>
      </c>
    </row>
    <row r="3921">
      <c r="A3921" t="inlineStr">
        <is>
          <t>snapshot 2026-10-06</t>
        </is>
      </c>
    </row>
    <row r="3922">
      <c r="A3922">
        <f>TR(config!$B$4,"TR.IndexConstituentRIC;TR.IndexConstituentWeightPercent;TR.IndexConstituentName","SDate=2026-10-06 CH=Fd RH=IN")</f>
        <v/>
      </c>
    </row>
    <row r="4001">
      <c r="A4001" t="inlineStr">
        <is>
          <t>snapshot 2026-10-15</t>
        </is>
      </c>
    </row>
    <row r="4002">
      <c r="A4002">
        <f>TR(config!$B$4,"TR.IndexConstituentRIC;TR.IndexConstituentWeightPercent;TR.IndexConstituentName","SDate=2026-10-15 CH=Fd RH=IN")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6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snapshot 2015-02-27</t>
        </is>
      </c>
    </row>
    <row r="2">
      <c r="A2">
        <f>TR(config!$B$20,"TR.IndexConstituentRIC","SDate=2015-02-27 CH=Fd RH=IN")</f>
        <v/>
      </c>
    </row>
    <row r="1101">
      <c r="A1101" t="inlineStr">
        <is>
          <t>snapshot 2015-05-29</t>
        </is>
      </c>
    </row>
    <row r="1102">
      <c r="A1102">
        <f>TR(config!$B$20,"TR.IndexConstituentRIC","SDate=2015-05-29 CH=Fd RH=IN")</f>
        <v/>
      </c>
    </row>
    <row r="2201">
      <c r="A2201" t="inlineStr">
        <is>
          <t>snapshot 2015-08-31</t>
        </is>
      </c>
    </row>
    <row r="2202">
      <c r="A2202">
        <f>TR(config!$B$20,"TR.IndexConstituentRIC","SDate=2015-08-31 CH=Fd RH=IN")</f>
        <v/>
      </c>
    </row>
    <row r="3301">
      <c r="A3301" t="inlineStr">
        <is>
          <t>snapshot 2015-11-30</t>
        </is>
      </c>
    </row>
    <row r="3302">
      <c r="A3302">
        <f>TR(config!$B$20,"TR.IndexConstituentRIC","SDate=2015-11-30 CH=Fd RH=IN")</f>
        <v/>
      </c>
    </row>
    <row r="4401">
      <c r="A4401" t="inlineStr">
        <is>
          <t>snapshot 2016-02-29</t>
        </is>
      </c>
    </row>
    <row r="4402">
      <c r="A4402">
        <f>TR(config!$B$20,"TR.IndexConstituentRIC","SDate=2016-02-29 CH=Fd RH=IN")</f>
        <v/>
      </c>
    </row>
    <row r="5501">
      <c r="A5501" t="inlineStr">
        <is>
          <t>snapshot 2016-05-31</t>
        </is>
      </c>
    </row>
    <row r="5502">
      <c r="A5502">
        <f>TR(config!$B$20,"TR.IndexConstituentRIC","SDate=2016-05-31 CH=Fd RH=IN")</f>
        <v/>
      </c>
    </row>
    <row r="6601">
      <c r="A6601" t="inlineStr">
        <is>
          <t>snapshot 2016-08-31</t>
        </is>
      </c>
    </row>
    <row r="6602">
      <c r="A6602">
        <f>TR(config!$B$20,"TR.IndexConstituentRIC","SDate=2016-08-31 CH=Fd RH=IN")</f>
        <v/>
      </c>
    </row>
    <row r="7701">
      <c r="A7701" t="inlineStr">
        <is>
          <t>snapshot 2016-11-30</t>
        </is>
      </c>
    </row>
    <row r="7702">
      <c r="A7702">
        <f>TR(config!$B$20,"TR.IndexConstituentRIC","SDate=2016-11-30 CH=Fd RH=IN")</f>
        <v/>
      </c>
    </row>
    <row r="8801">
      <c r="A8801" t="inlineStr">
        <is>
          <t>snapshot 2017-02-28</t>
        </is>
      </c>
    </row>
    <row r="8802">
      <c r="A8802">
        <f>TR(config!$B$20,"TR.IndexConstituentRIC","SDate=2017-02-28 CH=Fd RH=IN")</f>
        <v/>
      </c>
    </row>
    <row r="9901">
      <c r="A9901" t="inlineStr">
        <is>
          <t>snapshot 2017-05-31</t>
        </is>
      </c>
    </row>
    <row r="9902">
      <c r="A9902">
        <f>TR(config!$B$20,"TR.IndexConstituentRIC","SDate=2017-05-31 CH=Fd RH=IN")</f>
        <v/>
      </c>
    </row>
    <row r="11001">
      <c r="A11001" t="inlineStr">
        <is>
          <t>snapshot 2017-08-31</t>
        </is>
      </c>
    </row>
    <row r="11002">
      <c r="A11002">
        <f>TR(config!$B$20,"TR.IndexConstituentRIC","SDate=2017-08-31 CH=Fd RH=IN")</f>
        <v/>
      </c>
    </row>
    <row r="12101">
      <c r="A12101" t="inlineStr">
        <is>
          <t>snapshot 2017-11-30</t>
        </is>
      </c>
    </row>
    <row r="12102">
      <c r="A12102">
        <f>TR(config!$B$20,"TR.IndexConstituentRIC","SDate=2017-11-30 CH=Fd RH=IN")</f>
        <v/>
      </c>
    </row>
    <row r="13201">
      <c r="A13201" t="inlineStr">
        <is>
          <t>snapshot 2018-02-28</t>
        </is>
      </c>
    </row>
    <row r="13202">
      <c r="A13202">
        <f>TR(config!$B$20,"TR.IndexConstituentRIC","SDate=2018-02-28 CH=Fd RH=IN")</f>
        <v/>
      </c>
    </row>
    <row r="14301">
      <c r="A14301" t="inlineStr">
        <is>
          <t>snapshot 2018-05-31</t>
        </is>
      </c>
    </row>
    <row r="14302">
      <c r="A14302">
        <f>TR(config!$B$20,"TR.IndexConstituentRIC","SDate=2018-05-31 CH=Fd RH=IN")</f>
        <v/>
      </c>
    </row>
    <row r="15401">
      <c r="A15401" t="inlineStr">
        <is>
          <t>snapshot 2018-08-31</t>
        </is>
      </c>
    </row>
    <row r="15402">
      <c r="A15402">
        <f>TR(config!$B$20,"TR.IndexConstituentRIC","SDate=2018-08-31 CH=Fd RH=IN")</f>
        <v/>
      </c>
    </row>
    <row r="16501">
      <c r="A16501" t="inlineStr">
        <is>
          <t>snapshot 2018-11-30</t>
        </is>
      </c>
    </row>
    <row r="16502">
      <c r="A16502">
        <f>TR(config!$B$20,"TR.IndexConstituentRIC","SDate=2018-11-30 CH=Fd RH=IN")</f>
        <v/>
      </c>
    </row>
    <row r="17601">
      <c r="A17601" t="inlineStr">
        <is>
          <t>snapshot 2019-02-28</t>
        </is>
      </c>
    </row>
    <row r="17602">
      <c r="A17602">
        <f>TR(config!$B$20,"TR.IndexConstituentRIC","SDate=2019-02-28 CH=Fd RH=IN")</f>
        <v/>
      </c>
    </row>
    <row r="18701">
      <c r="A18701" t="inlineStr">
        <is>
          <t>snapshot 2019-05-31</t>
        </is>
      </c>
    </row>
    <row r="18702">
      <c r="A18702">
        <f>TR(config!$B$20,"TR.IndexConstituentRIC","SDate=2019-05-31 CH=Fd RH=IN")</f>
        <v/>
      </c>
    </row>
    <row r="19801">
      <c r="A19801" t="inlineStr">
        <is>
          <t>snapshot 2019-08-30</t>
        </is>
      </c>
    </row>
    <row r="19802">
      <c r="A19802">
        <f>TR(config!$B$20,"TR.IndexConstituentRIC","SDate=2019-08-30 CH=Fd RH=IN")</f>
        <v/>
      </c>
    </row>
    <row r="20901">
      <c r="A20901" t="inlineStr">
        <is>
          <t>snapshot 2019-11-29</t>
        </is>
      </c>
    </row>
    <row r="20902">
      <c r="A20902">
        <f>TR(config!$B$20,"TR.IndexConstituentRIC","SDate=2019-11-29 CH=Fd RH=IN")</f>
        <v/>
      </c>
    </row>
    <row r="22001">
      <c r="A22001" t="inlineStr">
        <is>
          <t>snapshot 2020-02-28</t>
        </is>
      </c>
    </row>
    <row r="22002">
      <c r="A22002">
        <f>TR(config!$B$20,"TR.IndexConstituentRIC","SDate=2020-02-28 CH=Fd RH=IN")</f>
        <v/>
      </c>
    </row>
    <row r="23101">
      <c r="A23101" t="inlineStr">
        <is>
          <t>snapshot 2020-05-29</t>
        </is>
      </c>
    </row>
    <row r="23102">
      <c r="A23102">
        <f>TR(config!$B$20,"TR.IndexConstituentRIC","SDate=2020-05-29 CH=Fd RH=IN")</f>
        <v/>
      </c>
    </row>
    <row r="24201">
      <c r="A24201" t="inlineStr">
        <is>
          <t>snapshot 2020-08-31</t>
        </is>
      </c>
    </row>
    <row r="24202">
      <c r="A24202">
        <f>TR(config!$B$20,"TR.IndexConstituentRIC","SDate=2020-08-31 CH=Fd RH=IN")</f>
        <v/>
      </c>
    </row>
    <row r="25301">
      <c r="A25301" t="inlineStr">
        <is>
          <t>snapshot 2020-11-30</t>
        </is>
      </c>
    </row>
    <row r="25302">
      <c r="A25302">
        <f>TR(config!$B$20,"TR.IndexConstituentRIC","SDate=2020-11-30 CH=Fd RH=IN")</f>
        <v/>
      </c>
    </row>
    <row r="26401">
      <c r="A26401" t="inlineStr">
        <is>
          <t>snapshot 2021-02-26</t>
        </is>
      </c>
    </row>
    <row r="26402">
      <c r="A26402">
        <f>TR(config!$B$20,"TR.IndexConstituentRIC","SDate=2021-02-26 CH=Fd RH=IN")</f>
        <v/>
      </c>
    </row>
    <row r="27501">
      <c r="A27501" t="inlineStr">
        <is>
          <t>snapshot 2021-05-31</t>
        </is>
      </c>
    </row>
    <row r="27502">
      <c r="A27502">
        <f>TR(config!$B$20,"TR.IndexConstituentRIC","SDate=2021-05-31 CH=Fd RH=IN")</f>
        <v/>
      </c>
    </row>
    <row r="28601">
      <c r="A28601" t="inlineStr">
        <is>
          <t>snapshot 2021-08-31</t>
        </is>
      </c>
    </row>
    <row r="28602">
      <c r="A28602">
        <f>TR(config!$B$20,"TR.IndexConstituentRIC","SDate=2021-08-31 CH=Fd RH=IN")</f>
        <v/>
      </c>
    </row>
    <row r="29701">
      <c r="A29701" t="inlineStr">
        <is>
          <t>snapshot 2021-11-30</t>
        </is>
      </c>
    </row>
    <row r="29702">
      <c r="A29702">
        <f>TR(config!$B$20,"TR.IndexConstituentRIC","SDate=2021-11-30 CH=Fd RH=IN")</f>
        <v/>
      </c>
    </row>
    <row r="30801">
      <c r="A30801" t="inlineStr">
        <is>
          <t>snapshot 2022-02-28</t>
        </is>
      </c>
    </row>
    <row r="30802">
      <c r="A30802">
        <f>TR(config!$B$20,"TR.IndexConstituentRIC","SDate=2022-02-28 CH=Fd RH=IN")</f>
        <v/>
      </c>
    </row>
    <row r="31901">
      <c r="A31901" t="inlineStr">
        <is>
          <t>snapshot 2022-05-31</t>
        </is>
      </c>
    </row>
    <row r="31902">
      <c r="A31902">
        <f>TR(config!$B$20,"TR.IndexConstituentRIC","SDate=2022-05-31 CH=Fd RH=IN")</f>
        <v/>
      </c>
    </row>
    <row r="33001">
      <c r="A33001" t="inlineStr">
        <is>
          <t>snapshot 2022-08-31</t>
        </is>
      </c>
    </row>
    <row r="33002">
      <c r="A33002">
        <f>TR(config!$B$20,"TR.IndexConstituentRIC","SDate=2022-08-31 CH=Fd RH=IN")</f>
        <v/>
      </c>
    </row>
    <row r="34101">
      <c r="A34101" t="inlineStr">
        <is>
          <t>snapshot 2022-11-30</t>
        </is>
      </c>
    </row>
    <row r="34102">
      <c r="A34102">
        <f>TR(config!$B$20,"TR.IndexConstituentRIC","SDate=2022-11-30 CH=Fd RH=IN")</f>
        <v/>
      </c>
    </row>
    <row r="35201">
      <c r="A35201" t="inlineStr">
        <is>
          <t>snapshot 2023-02-28</t>
        </is>
      </c>
    </row>
    <row r="35202">
      <c r="A35202">
        <f>TR(config!$B$20,"TR.IndexConstituentRIC","SDate=2023-02-28 CH=Fd RH=IN")</f>
        <v/>
      </c>
    </row>
    <row r="36301">
      <c r="A36301" t="inlineStr">
        <is>
          <t>snapshot 2023-05-31</t>
        </is>
      </c>
    </row>
    <row r="36302">
      <c r="A36302">
        <f>TR(config!$B$20,"TR.IndexConstituentRIC","SDate=2023-05-31 CH=Fd RH=IN")</f>
        <v/>
      </c>
    </row>
    <row r="37401">
      <c r="A37401" t="inlineStr">
        <is>
          <t>snapshot 2023-08-31</t>
        </is>
      </c>
    </row>
    <row r="37402">
      <c r="A37402">
        <f>TR(config!$B$20,"TR.IndexConstituentRIC","SDate=2023-08-31 CH=Fd RH=IN")</f>
        <v/>
      </c>
    </row>
    <row r="38501">
      <c r="A38501" t="inlineStr">
        <is>
          <t>snapshot 2023-11-30</t>
        </is>
      </c>
    </row>
    <row r="38502">
      <c r="A38502">
        <f>TR(config!$B$20,"TR.IndexConstituentRIC","SDate=2023-11-30 CH=Fd RH=IN")</f>
        <v/>
      </c>
    </row>
    <row r="39601">
      <c r="A39601" t="inlineStr">
        <is>
          <t>snapshot 2024-02-29</t>
        </is>
      </c>
    </row>
    <row r="39602">
      <c r="A39602">
        <f>TR(config!$B$20,"TR.IndexConstituentRIC","SDate=2024-02-29 CH=Fd RH=IN")</f>
        <v/>
      </c>
    </row>
    <row r="40701">
      <c r="A40701" t="inlineStr">
        <is>
          <t>snapshot 2024-05-31</t>
        </is>
      </c>
    </row>
    <row r="40702">
      <c r="A40702">
        <f>TR(config!$B$20,"TR.IndexConstituentRIC","SDate=2024-05-31 CH=Fd RH=IN")</f>
        <v/>
      </c>
    </row>
    <row r="41801">
      <c r="A41801" t="inlineStr">
        <is>
          <t>snapshot 2024-08-30</t>
        </is>
      </c>
    </row>
    <row r="41802">
      <c r="A41802">
        <f>TR(config!$B$20,"TR.IndexConstituentRIC","SDate=2024-08-30 CH=Fd RH=IN")</f>
        <v/>
      </c>
    </row>
    <row r="42901">
      <c r="A42901" t="inlineStr">
        <is>
          <t>snapshot 2024-11-29</t>
        </is>
      </c>
    </row>
    <row r="42902">
      <c r="A42902">
        <f>TR(config!$B$20,"TR.IndexConstituentRIC","SDate=2024-11-29 CH=Fd RH=IN")</f>
        <v/>
      </c>
    </row>
    <row r="44001">
      <c r="A44001" t="inlineStr">
        <is>
          <t>snapshot 2025-02-28</t>
        </is>
      </c>
    </row>
    <row r="44002">
      <c r="A44002">
        <f>TR(config!$B$20,"TR.IndexConstituentRIC","SDate=2025-02-28 CH=Fd RH=IN")</f>
        <v/>
      </c>
    </row>
    <row r="45101">
      <c r="A45101" t="inlineStr">
        <is>
          <t>snapshot 2025-05-30</t>
        </is>
      </c>
    </row>
    <row r="45102">
      <c r="A45102">
        <f>TR(config!$B$20,"TR.IndexConstituentRIC","SDate=2025-05-30 CH=Fd RH=IN")</f>
        <v/>
      </c>
    </row>
    <row r="46201">
      <c r="A46201" t="inlineStr">
        <is>
          <t>snapshot 2025-08-29</t>
        </is>
      </c>
    </row>
    <row r="46202">
      <c r="A46202">
        <f>TR(config!$B$20,"TR.IndexConstituentRIC","SDate=2025-08-29 CH=Fd RH=IN")</f>
        <v/>
      </c>
    </row>
    <row r="47301">
      <c r="A47301" t="inlineStr">
        <is>
          <t>snapshot 2025-11-28</t>
        </is>
      </c>
    </row>
    <row r="47302">
      <c r="A47302">
        <f>TR(config!$B$20,"TR.IndexConstituentRIC","SDate=2025-11-28 CH=Fd RH=IN")</f>
        <v/>
      </c>
    </row>
    <row r="48401">
      <c r="A48401" t="inlineStr">
        <is>
          <t>snapshot 2026-01-27</t>
        </is>
      </c>
    </row>
    <row r="48402">
      <c r="A48402">
        <f>TR(config!$B$20,"TR.IndexConstituentRIC","SDate=2026-01-27 CH=Fd RH=IN")</f>
        <v/>
      </c>
    </row>
    <row r="49501">
      <c r="A49501" t="inlineStr">
        <is>
          <t>snapshot 2026-02-06</t>
        </is>
      </c>
    </row>
    <row r="49502">
      <c r="A49502">
        <f>TR(config!$B$20,"TR.IndexConstituentRIC","SDate=2026-02-06 CH=Fd RH=IN")</f>
        <v/>
      </c>
    </row>
    <row r="50601">
      <c r="A50601" t="inlineStr">
        <is>
          <t>snapshot 2026-02-27</t>
        </is>
      </c>
    </row>
    <row r="50602">
      <c r="A50602">
        <f>TR(config!$B$20,"TR.IndexConstituentRIC","SDate=2026-02-27 CH=Fd RH=IN")</f>
        <v/>
      </c>
    </row>
    <row r="51701">
      <c r="A51701" t="inlineStr">
        <is>
          <t>snapshot 2026-05-29</t>
        </is>
      </c>
    </row>
    <row r="51702">
      <c r="A51702">
        <f>TR(config!$B$20,"TR.IndexConstituentRIC","SDate=2026-05-29 CH=Fd RH=IN")</f>
        <v/>
      </c>
    </row>
    <row r="52801">
      <c r="A52801" t="inlineStr">
        <is>
          <t>snapshot 2026-08-31</t>
        </is>
      </c>
    </row>
    <row r="52802">
      <c r="A52802">
        <f>TR(config!$B$20,"TR.IndexConstituentRIC","SDate=2026-08-31 CH=Fd RH=IN")</f>
        <v/>
      </c>
    </row>
    <row r="53901">
      <c r="A53901" t="inlineStr">
        <is>
          <t>snapshot 2026-10-06</t>
        </is>
      </c>
    </row>
    <row r="53902">
      <c r="A53902">
        <f>TR(config!$B$20,"TR.IndexConstituentRIC","SDate=2026-10-06 CH=Fd RH=IN")</f>
        <v/>
      </c>
    </row>
    <row r="55001">
      <c r="A55001" t="inlineStr">
        <is>
          <t>snapshot 2026-10-15</t>
        </is>
      </c>
    </row>
    <row r="55002">
      <c r="A55002">
        <f>TR(config!$B$20,"TR.IndexConstituentRIC","SDate=2026-10-15 CH=Fd RH=IN")</f>
        <v/>
      </c>
    </row>
    <row r="56101">
      <c r="A56101" t="inlineStr">
        <is>
          <t>snapshot terkini</t>
        </is>
      </c>
    </row>
    <row r="56102">
      <c r="A56102">
        <f>TR(config!$B$20,"TR.IndexConstituentRIC","CH=Fd RH=IN")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B2:B51</t>
        </is>
      </c>
      <c r="E1" t="inlineStr">
        <is>
          <t>tickers B52:B101</t>
        </is>
      </c>
      <c r="I1" t="inlineStr">
        <is>
          <t>tickers B102:B151</t>
        </is>
      </c>
      <c r="M1" t="inlineStr">
        <is>
          <t>tickers B152:B201</t>
        </is>
      </c>
      <c r="Q1" t="inlineStr">
        <is>
          <t>tickers B202:B251</t>
        </is>
      </c>
      <c r="U1" t="inlineStr">
        <is>
          <t>tickers B252:B301</t>
        </is>
      </c>
      <c r="Y1" t="inlineStr">
        <is>
          <t>tickers B302:B351</t>
        </is>
      </c>
      <c r="AC1" t="inlineStr">
        <is>
          <t>tickers B352:B401</t>
        </is>
      </c>
      <c r="AG1" t="inlineStr">
        <is>
          <t>tickers B402:B451</t>
        </is>
      </c>
      <c r="AK1" t="inlineStr">
        <is>
          <t>tickers B452:B501</t>
        </is>
      </c>
      <c r="AO1" t="inlineStr">
        <is>
          <t>tickers B502:B551</t>
        </is>
      </c>
      <c r="AS1" t="inlineStr">
        <is>
          <t>tickers B552:B601</t>
        </is>
      </c>
      <c r="AW1" t="inlineStr">
        <is>
          <t>tickers B602:B651</t>
        </is>
      </c>
      <c r="BA1" t="inlineStr">
        <is>
          <t>tickers B652:B701</t>
        </is>
      </c>
      <c r="BE1" t="inlineStr">
        <is>
          <t>tickers B702:B751</t>
        </is>
      </c>
      <c r="BI1" t="inlineStr">
        <is>
          <t>tickers B752:B801</t>
        </is>
      </c>
      <c r="BM1" t="inlineStr">
        <is>
          <t>tickers B802:B851</t>
        </is>
      </c>
      <c r="BQ1" t="inlineStr">
        <is>
          <t>tickers B852:B901</t>
        </is>
      </c>
      <c r="BU1" t="inlineStr">
        <is>
          <t>tickers B902:B951</t>
        </is>
      </c>
      <c r="BY1" t="inlineStr">
        <is>
          <t>tickers B952:B1001</t>
        </is>
      </c>
      <c r="CC1" t="inlineStr">
        <is>
          <t>tickers B1002:B1051</t>
        </is>
      </c>
      <c r="CG1" t="inlineStr">
        <is>
          <t>tickers B1052:B1101</t>
        </is>
      </c>
      <c r="CK1" t="inlineStr">
        <is>
          <t>tickers B1102:B1151</t>
        </is>
      </c>
      <c r="CO1" t="inlineStr">
        <is>
          <t>tickers B1152:B1201</t>
        </is>
      </c>
      <c r="CS1" t="inlineStr">
        <is>
          <t>tickers B1202:B1251</t>
        </is>
      </c>
      <c r="CW1" t="inlineStr">
        <is>
          <t>tickers B1252:B1301</t>
        </is>
      </c>
      <c r="DA1" t="inlineStr">
        <is>
          <t>tickers B1302:B1351</t>
        </is>
      </c>
      <c r="DE1" t="inlineStr">
        <is>
          <t>tickers B1352:B1401</t>
        </is>
      </c>
      <c r="DI1" t="inlineStr">
        <is>
          <t>tickers B1402:B1451</t>
        </is>
      </c>
      <c r="DM1" t="inlineStr">
        <is>
          <t>tickers B1452:B1501</t>
        </is>
      </c>
    </row>
    <row r="2">
      <c r="A2">
        <f>TR(tickers!$B$2:$B$51,"TR.FreeFloatPct.date;TR.FreeFloatPct",config!$B$8)</f>
        <v/>
      </c>
      <c r="E2">
        <f>TR(tickers!$B$52:$B$101,"TR.FreeFloatPct.date;TR.FreeFloatPct",config!$B$8)</f>
        <v/>
      </c>
      <c r="I2">
        <f>TR(tickers!$B$102:$B$151,"TR.FreeFloatPct.date;TR.FreeFloatPct",config!$B$8)</f>
        <v/>
      </c>
      <c r="M2">
        <f>TR(tickers!$B$152:$B$201,"TR.FreeFloatPct.date;TR.FreeFloatPct",config!$B$8)</f>
        <v/>
      </c>
      <c r="Q2">
        <f>TR(tickers!$B$202:$B$251,"TR.FreeFloatPct.date;TR.FreeFloatPct",config!$B$8)</f>
        <v/>
      </c>
      <c r="U2">
        <f>TR(tickers!$B$252:$B$301,"TR.FreeFloatPct.date;TR.FreeFloatPct",config!$B$8)</f>
        <v/>
      </c>
      <c r="Y2">
        <f>TR(tickers!$B$302:$B$351,"TR.FreeFloatPct.date;TR.FreeFloatPct",config!$B$8)</f>
        <v/>
      </c>
      <c r="AC2">
        <f>TR(tickers!$B$352:$B$401,"TR.FreeFloatPct.date;TR.FreeFloatPct",config!$B$8)</f>
        <v/>
      </c>
      <c r="AG2">
        <f>TR(tickers!$B$402:$B$451,"TR.FreeFloatPct.date;TR.FreeFloatPct",config!$B$8)</f>
        <v/>
      </c>
      <c r="AK2">
        <f>TR(tickers!$B$452:$B$501,"TR.FreeFloatPct.date;TR.FreeFloatPct",config!$B$8)</f>
        <v/>
      </c>
      <c r="AO2">
        <f>TR(tickers!$B$502:$B$551,"TR.FreeFloatPct.date;TR.FreeFloatPct",config!$B$8)</f>
        <v/>
      </c>
      <c r="AS2">
        <f>TR(tickers!$B$552:$B$601,"TR.FreeFloatPct.date;TR.FreeFloatPct",config!$B$8)</f>
        <v/>
      </c>
      <c r="AW2">
        <f>TR(tickers!$B$602:$B$651,"TR.FreeFloatPct.date;TR.FreeFloatPct",config!$B$8)</f>
        <v/>
      </c>
      <c r="BA2">
        <f>TR(tickers!$B$652:$B$701,"TR.FreeFloatPct.date;TR.FreeFloatPct",config!$B$8)</f>
        <v/>
      </c>
      <c r="BE2">
        <f>TR(tickers!$B$702:$B$751,"TR.FreeFloatPct.date;TR.FreeFloatPct",config!$B$8)</f>
        <v/>
      </c>
      <c r="BI2">
        <f>TR(tickers!$B$752:$B$801,"TR.FreeFloatPct.date;TR.FreeFloatPct",config!$B$8)</f>
        <v/>
      </c>
      <c r="BM2">
        <f>TR(tickers!$B$802:$B$851,"TR.FreeFloatPct.date;TR.FreeFloatPct",config!$B$8)</f>
        <v/>
      </c>
      <c r="BQ2">
        <f>TR(tickers!$B$852:$B$901,"TR.FreeFloatPct.date;TR.FreeFloatPct",config!$B$8)</f>
        <v/>
      </c>
      <c r="BU2">
        <f>TR(tickers!$B$902:$B$951,"TR.FreeFloatPct.date;TR.FreeFloatPct",config!$B$8)</f>
        <v/>
      </c>
      <c r="BY2">
        <f>TR(tickers!$B$952:$B$1001,"TR.FreeFloatPct.date;TR.FreeFloatPct",config!$B$8)</f>
        <v/>
      </c>
      <c r="CC2">
        <f>TR(tickers!$B$1002:$B$1051,"TR.FreeFloatPct.date;TR.FreeFloatPct",config!$B$8)</f>
        <v/>
      </c>
      <c r="CG2">
        <f>TR(tickers!$B$1052:$B$1101,"TR.FreeFloatPct.date;TR.FreeFloatPct",config!$B$8)</f>
        <v/>
      </c>
      <c r="CK2">
        <f>TR(tickers!$B$1102:$B$1151,"TR.FreeFloatPct.date;TR.FreeFloatPct",config!$B$8)</f>
        <v/>
      </c>
      <c r="CO2">
        <f>TR(tickers!$B$1152:$B$1201,"TR.FreeFloatPct.date;TR.FreeFloatPct",config!$B$8)</f>
        <v/>
      </c>
      <c r="CS2">
        <f>TR(tickers!$B$1202:$B$1251,"TR.FreeFloatPct.date;TR.FreeFloatPct",config!$B$8)</f>
        <v/>
      </c>
      <c r="CW2">
        <f>TR(tickers!$B$1252:$B$1301,"TR.FreeFloatPct.date;TR.FreeFloatPct",config!$B$8)</f>
        <v/>
      </c>
      <c r="DA2">
        <f>TR(tickers!$B$1302:$B$1351,"TR.FreeFloatPct.date;TR.FreeFloatPct",config!$B$8)</f>
        <v/>
      </c>
      <c r="DE2">
        <f>TR(tickers!$B$1352:$B$1401,"TR.FreeFloatPct.date;TR.FreeFloatPct",config!$B$8)</f>
        <v/>
      </c>
      <c r="DI2">
        <f>TR(tickers!$B$1402:$B$1451,"TR.FreeFloatPct.date;TR.FreeFloatPct",config!$B$8)</f>
        <v/>
      </c>
      <c r="DM2">
        <f>TR(tickers!$B$1452:$B$1501,"TR.FreeFloatPct.date;TR.FreeFloatPct",config!$B$8)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B2:B51</t>
        </is>
      </c>
      <c r="E1" t="inlineStr">
        <is>
          <t>tickers B52:B101</t>
        </is>
      </c>
      <c r="I1" t="inlineStr">
        <is>
          <t>tickers B102:B151</t>
        </is>
      </c>
      <c r="M1" t="inlineStr">
        <is>
          <t>tickers B152:B201</t>
        </is>
      </c>
      <c r="Q1" t="inlineStr">
        <is>
          <t>tickers B202:B251</t>
        </is>
      </c>
      <c r="U1" t="inlineStr">
        <is>
          <t>tickers B252:B301</t>
        </is>
      </c>
      <c r="Y1" t="inlineStr">
        <is>
          <t>tickers B302:B351</t>
        </is>
      </c>
      <c r="AC1" t="inlineStr">
        <is>
          <t>tickers B352:B401</t>
        </is>
      </c>
      <c r="AG1" t="inlineStr">
        <is>
          <t>tickers B402:B451</t>
        </is>
      </c>
      <c r="AK1" t="inlineStr">
        <is>
          <t>tickers B452:B501</t>
        </is>
      </c>
      <c r="AO1" t="inlineStr">
        <is>
          <t>tickers B502:B551</t>
        </is>
      </c>
      <c r="AS1" t="inlineStr">
        <is>
          <t>tickers B552:B601</t>
        </is>
      </c>
      <c r="AW1" t="inlineStr">
        <is>
          <t>tickers B602:B651</t>
        </is>
      </c>
      <c r="BA1" t="inlineStr">
        <is>
          <t>tickers B652:B701</t>
        </is>
      </c>
      <c r="BE1" t="inlineStr">
        <is>
          <t>tickers B702:B751</t>
        </is>
      </c>
      <c r="BI1" t="inlineStr">
        <is>
          <t>tickers B752:B801</t>
        </is>
      </c>
      <c r="BM1" t="inlineStr">
        <is>
          <t>tickers B802:B851</t>
        </is>
      </c>
      <c r="BQ1" t="inlineStr">
        <is>
          <t>tickers B852:B901</t>
        </is>
      </c>
      <c r="BU1" t="inlineStr">
        <is>
          <t>tickers B902:B951</t>
        </is>
      </c>
      <c r="BY1" t="inlineStr">
        <is>
          <t>tickers B952:B1001</t>
        </is>
      </c>
      <c r="CC1" t="inlineStr">
        <is>
          <t>tickers B1002:B1051</t>
        </is>
      </c>
      <c r="CG1" t="inlineStr">
        <is>
          <t>tickers B1052:B1101</t>
        </is>
      </c>
      <c r="CK1" t="inlineStr">
        <is>
          <t>tickers B1102:B1151</t>
        </is>
      </c>
      <c r="CO1" t="inlineStr">
        <is>
          <t>tickers B1152:B1201</t>
        </is>
      </c>
      <c r="CS1" t="inlineStr">
        <is>
          <t>tickers B1202:B1251</t>
        </is>
      </c>
      <c r="CW1" t="inlineStr">
        <is>
          <t>tickers B1252:B1301</t>
        </is>
      </c>
      <c r="DA1" t="inlineStr">
        <is>
          <t>tickers B1302:B1351</t>
        </is>
      </c>
      <c r="DE1" t="inlineStr">
        <is>
          <t>tickers B1352:B1401</t>
        </is>
      </c>
      <c r="DI1" t="inlineStr">
        <is>
          <t>tickers B1402:B1451</t>
        </is>
      </c>
      <c r="DM1" t="inlineStr">
        <is>
          <t>tickers B1452:B1501</t>
        </is>
      </c>
    </row>
    <row r="2">
      <c r="A2">
        <f>TR(tickers!$B$2:$B$51,"TR.SharesOutstanding.date;TR.SharesOutstanding",config!$B$8)</f>
        <v/>
      </c>
      <c r="E2">
        <f>TR(tickers!$B$52:$B$101,"TR.SharesOutstanding.date;TR.SharesOutstanding",config!$B$8)</f>
        <v/>
      </c>
      <c r="I2">
        <f>TR(tickers!$B$102:$B$151,"TR.SharesOutstanding.date;TR.SharesOutstanding",config!$B$8)</f>
        <v/>
      </c>
      <c r="M2">
        <f>TR(tickers!$B$152:$B$201,"TR.SharesOutstanding.date;TR.SharesOutstanding",config!$B$8)</f>
        <v/>
      </c>
      <c r="Q2">
        <f>TR(tickers!$B$202:$B$251,"TR.SharesOutstanding.date;TR.SharesOutstanding",config!$B$8)</f>
        <v/>
      </c>
      <c r="U2">
        <f>TR(tickers!$B$252:$B$301,"TR.SharesOutstanding.date;TR.SharesOutstanding",config!$B$8)</f>
        <v/>
      </c>
      <c r="Y2">
        <f>TR(tickers!$B$302:$B$351,"TR.SharesOutstanding.date;TR.SharesOutstanding",config!$B$8)</f>
        <v/>
      </c>
      <c r="AC2">
        <f>TR(tickers!$B$352:$B$401,"TR.SharesOutstanding.date;TR.SharesOutstanding",config!$B$8)</f>
        <v/>
      </c>
      <c r="AG2">
        <f>TR(tickers!$B$402:$B$451,"TR.SharesOutstanding.date;TR.SharesOutstanding",config!$B$8)</f>
        <v/>
      </c>
      <c r="AK2">
        <f>TR(tickers!$B$452:$B$501,"TR.SharesOutstanding.date;TR.SharesOutstanding",config!$B$8)</f>
        <v/>
      </c>
      <c r="AO2">
        <f>TR(tickers!$B$502:$B$551,"TR.SharesOutstanding.date;TR.SharesOutstanding",config!$B$8)</f>
        <v/>
      </c>
      <c r="AS2">
        <f>TR(tickers!$B$552:$B$601,"TR.SharesOutstanding.date;TR.SharesOutstanding",config!$B$8)</f>
        <v/>
      </c>
      <c r="AW2">
        <f>TR(tickers!$B$602:$B$651,"TR.SharesOutstanding.date;TR.SharesOutstanding",config!$B$8)</f>
        <v/>
      </c>
      <c r="BA2">
        <f>TR(tickers!$B$652:$B$701,"TR.SharesOutstanding.date;TR.SharesOutstanding",config!$B$8)</f>
        <v/>
      </c>
      <c r="BE2">
        <f>TR(tickers!$B$702:$B$751,"TR.SharesOutstanding.date;TR.SharesOutstanding",config!$B$8)</f>
        <v/>
      </c>
      <c r="BI2">
        <f>TR(tickers!$B$752:$B$801,"TR.SharesOutstanding.date;TR.SharesOutstanding",config!$B$8)</f>
        <v/>
      </c>
      <c r="BM2">
        <f>TR(tickers!$B$802:$B$851,"TR.SharesOutstanding.date;TR.SharesOutstanding",config!$B$8)</f>
        <v/>
      </c>
      <c r="BQ2">
        <f>TR(tickers!$B$852:$B$901,"TR.SharesOutstanding.date;TR.SharesOutstanding",config!$B$8)</f>
        <v/>
      </c>
      <c r="BU2">
        <f>TR(tickers!$B$902:$B$951,"TR.SharesOutstanding.date;TR.SharesOutstanding",config!$B$8)</f>
        <v/>
      </c>
      <c r="BY2">
        <f>TR(tickers!$B$952:$B$1001,"TR.SharesOutstanding.date;TR.SharesOutstanding",config!$B$8)</f>
        <v/>
      </c>
      <c r="CC2">
        <f>TR(tickers!$B$1002:$B$1051,"TR.SharesOutstanding.date;TR.SharesOutstanding",config!$B$8)</f>
        <v/>
      </c>
      <c r="CG2">
        <f>TR(tickers!$B$1052:$B$1101,"TR.SharesOutstanding.date;TR.SharesOutstanding",config!$B$8)</f>
        <v/>
      </c>
      <c r="CK2">
        <f>TR(tickers!$B$1102:$B$1151,"TR.SharesOutstanding.date;TR.SharesOutstanding",config!$B$8)</f>
        <v/>
      </c>
      <c r="CO2">
        <f>TR(tickers!$B$1152:$B$1201,"TR.SharesOutstanding.date;TR.SharesOutstanding",config!$B$8)</f>
        <v/>
      </c>
      <c r="CS2">
        <f>TR(tickers!$B$1202:$B$1251,"TR.SharesOutstanding.date;TR.SharesOutstanding",config!$B$8)</f>
        <v/>
      </c>
      <c r="CW2">
        <f>TR(tickers!$B$1252:$B$1301,"TR.SharesOutstanding.date;TR.SharesOutstanding",config!$B$8)</f>
        <v/>
      </c>
      <c r="DA2">
        <f>TR(tickers!$B$1302:$B$1351,"TR.SharesOutstanding.date;TR.SharesOutstanding",config!$B$8)</f>
        <v/>
      </c>
      <c r="DE2">
        <f>TR(tickers!$B$1352:$B$1401,"TR.SharesOutstanding.date;TR.SharesOutstanding",config!$B$8)</f>
        <v/>
      </c>
      <c r="DI2">
        <f>TR(tickers!$B$1402:$B$1451,"TR.SharesOutstanding.date;TR.SharesOutstanding",config!$B$8)</f>
        <v/>
      </c>
      <c r="DM2">
        <f>TR(tickers!$B$1452:$B$1501,"TR.SharesOutstanding.date;TR.SharesOutstanding",config!$B$8)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E1" t="inlineStr">
        <is>
          <t>tickers B202:B401</t>
        </is>
      </c>
      <c r="I1" t="inlineStr">
        <is>
          <t>tickers B402:B601</t>
        </is>
      </c>
      <c r="M1" t="inlineStr">
        <is>
          <t>tickers B602:B801</t>
        </is>
      </c>
      <c r="Q1" t="inlineStr">
        <is>
          <t>tickers B802:B1001</t>
        </is>
      </c>
      <c r="U1" t="inlineStr">
        <is>
          <t>tickers B1002:B1201</t>
        </is>
      </c>
      <c r="Y1" t="inlineStr">
        <is>
          <t>tickers B1202:B1401</t>
        </is>
      </c>
      <c r="AC1" t="inlineStr">
        <is>
          <t>tickers B1402:B1601</t>
        </is>
      </c>
    </row>
    <row r="2">
      <c r="A2">
        <f>TR(tickers!$B$2:$B$201,config!$C$92&amp;".date;"&amp;config!$C$92,config!$D$92)</f>
        <v/>
      </c>
      <c r="E2">
        <f>TR(tickers!$B$202:$B$401,config!$C$92&amp;".date;"&amp;config!$C$92,config!$D$92)</f>
        <v/>
      </c>
      <c r="I2">
        <f>TR(tickers!$B$402:$B$601,config!$C$92&amp;".date;"&amp;config!$C$92,config!$D$92)</f>
        <v/>
      </c>
      <c r="M2">
        <f>TR(tickers!$B$602:$B$801,config!$C$92&amp;".date;"&amp;config!$C$92,config!$D$92)</f>
        <v/>
      </c>
      <c r="Q2">
        <f>TR(tickers!$B$802:$B$1001,config!$C$92&amp;".date;"&amp;config!$C$92,config!$D$92)</f>
        <v/>
      </c>
      <c r="U2">
        <f>TR(tickers!$B$1002:$B$1201,config!$C$92&amp;".date;"&amp;config!$C$92,config!$D$92)</f>
        <v/>
      </c>
      <c r="Y2">
        <f>TR(tickers!$B$1202:$B$1401,config!$C$92&amp;".date;"&amp;config!$C$92,config!$D$92)</f>
        <v/>
      </c>
      <c r="AC2">
        <f>TR(tickers!$B$1402:$B$1601,config!$C$92&amp;".date;"&amp;config!$C$92,config!$D$92)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E1" t="inlineStr">
        <is>
          <t>tickers B202:B401</t>
        </is>
      </c>
      <c r="I1" t="inlineStr">
        <is>
          <t>tickers B402:B601</t>
        </is>
      </c>
      <c r="M1" t="inlineStr">
        <is>
          <t>tickers B602:B801</t>
        </is>
      </c>
      <c r="Q1" t="inlineStr">
        <is>
          <t>tickers B802:B1001</t>
        </is>
      </c>
      <c r="U1" t="inlineStr">
        <is>
          <t>tickers B1002:B1201</t>
        </is>
      </c>
      <c r="Y1" t="inlineStr">
        <is>
          <t>tickers B1202:B1401</t>
        </is>
      </c>
      <c r="AC1" t="inlineStr">
        <is>
          <t>tickers B1402:B1601</t>
        </is>
      </c>
    </row>
    <row r="2">
      <c r="A2">
        <f>TR(tickers!$B$2:$B$201,config!$C$93&amp;".date;"&amp;config!$C$93,config!$D$93)</f>
        <v/>
      </c>
      <c r="E2">
        <f>TR(tickers!$B$202:$B$401,config!$C$93&amp;".date;"&amp;config!$C$93,config!$D$93)</f>
        <v/>
      </c>
      <c r="I2">
        <f>TR(tickers!$B$402:$B$601,config!$C$93&amp;".date;"&amp;config!$C$93,config!$D$93)</f>
        <v/>
      </c>
      <c r="M2">
        <f>TR(tickers!$B$602:$B$801,config!$C$93&amp;".date;"&amp;config!$C$93,config!$D$93)</f>
        <v/>
      </c>
      <c r="Q2">
        <f>TR(tickers!$B$802:$B$1001,config!$C$93&amp;".date;"&amp;config!$C$93,config!$D$93)</f>
        <v/>
      </c>
      <c r="U2">
        <f>TR(tickers!$B$1002:$B$1201,config!$C$93&amp;".date;"&amp;config!$C$93,config!$D$93)</f>
        <v/>
      </c>
      <c r="Y2">
        <f>TR(tickers!$B$1202:$B$1401,config!$C$93&amp;".date;"&amp;config!$C$93,config!$D$93)</f>
        <v/>
      </c>
      <c r="AC2">
        <f>TR(tickers!$B$1402:$B$1601,config!$C$93&amp;".date;"&amp;config!$C$93,config!$D$93)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E1" t="inlineStr">
        <is>
          <t>tickers B202:B401</t>
        </is>
      </c>
      <c r="I1" t="inlineStr">
        <is>
          <t>tickers B402:B601</t>
        </is>
      </c>
      <c r="M1" t="inlineStr">
        <is>
          <t>tickers B602:B801</t>
        </is>
      </c>
      <c r="Q1" t="inlineStr">
        <is>
          <t>tickers B802:B1001</t>
        </is>
      </c>
      <c r="U1" t="inlineStr">
        <is>
          <t>tickers B1002:B1201</t>
        </is>
      </c>
      <c r="Y1" t="inlineStr">
        <is>
          <t>tickers B1202:B1401</t>
        </is>
      </c>
      <c r="AC1" t="inlineStr">
        <is>
          <t>tickers B1402:B1601</t>
        </is>
      </c>
    </row>
    <row r="2">
      <c r="A2">
        <f>TR(tickers!$B$2:$B$201,config!$C$94&amp;".date;"&amp;config!$C$94,config!$D$94)</f>
        <v/>
      </c>
      <c r="E2">
        <f>TR(tickers!$B$202:$B$401,config!$C$94&amp;".date;"&amp;config!$C$94,config!$D$94)</f>
        <v/>
      </c>
      <c r="I2">
        <f>TR(tickers!$B$402:$B$601,config!$C$94&amp;".date;"&amp;config!$C$94,config!$D$94)</f>
        <v/>
      </c>
      <c r="M2">
        <f>TR(tickers!$B$602:$B$801,config!$C$94&amp;".date;"&amp;config!$C$94,config!$D$94)</f>
        <v/>
      </c>
      <c r="Q2">
        <f>TR(tickers!$B$802:$B$1001,config!$C$94&amp;".date;"&amp;config!$C$94,config!$D$94)</f>
        <v/>
      </c>
      <c r="U2">
        <f>TR(tickers!$B$1002:$B$1201,config!$C$94&amp;".date;"&amp;config!$C$94,config!$D$94)</f>
        <v/>
      </c>
      <c r="Y2">
        <f>TR(tickers!$B$1202:$B$1401,config!$C$94&amp;".date;"&amp;config!$C$94,config!$D$94)</f>
        <v/>
      </c>
      <c r="AC2">
        <f>TR(tickers!$B$1402:$B$1601,config!$C$94&amp;".date;"&amp;config!$C$94,config!$D$94)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E1" t="inlineStr">
        <is>
          <t>tickers B202:B401</t>
        </is>
      </c>
      <c r="I1" t="inlineStr">
        <is>
          <t>tickers B402:B601</t>
        </is>
      </c>
      <c r="M1" t="inlineStr">
        <is>
          <t>tickers B602:B801</t>
        </is>
      </c>
      <c r="Q1" t="inlineStr">
        <is>
          <t>tickers B802:B1001</t>
        </is>
      </c>
      <c r="U1" t="inlineStr">
        <is>
          <t>tickers B1002:B1201</t>
        </is>
      </c>
      <c r="Y1" t="inlineStr">
        <is>
          <t>tickers B1202:B1401</t>
        </is>
      </c>
      <c r="AC1" t="inlineStr">
        <is>
          <t>tickers B1402:B1601</t>
        </is>
      </c>
    </row>
    <row r="2">
      <c r="A2">
        <f>TR(tickers!$B$2:$B$201,config!$C$95&amp;".date;"&amp;config!$C$95,config!$D$95)</f>
        <v/>
      </c>
      <c r="E2">
        <f>TR(tickers!$B$202:$B$401,config!$C$95&amp;".date;"&amp;config!$C$95,config!$D$95)</f>
        <v/>
      </c>
      <c r="I2">
        <f>TR(tickers!$B$402:$B$601,config!$C$95&amp;".date;"&amp;config!$C$95,config!$D$95)</f>
        <v/>
      </c>
      <c r="M2">
        <f>TR(tickers!$B$602:$B$801,config!$C$95&amp;".date;"&amp;config!$C$95,config!$D$95)</f>
        <v/>
      </c>
      <c r="Q2">
        <f>TR(tickers!$B$802:$B$1001,config!$C$95&amp;".date;"&amp;config!$C$95,config!$D$95)</f>
        <v/>
      </c>
      <c r="U2">
        <f>TR(tickers!$B$1002:$B$1201,config!$C$95&amp;".date;"&amp;config!$C$95,config!$D$95)</f>
        <v/>
      </c>
      <c r="Y2">
        <f>TR(tickers!$B$1202:$B$1401,config!$C$95&amp;".date;"&amp;config!$C$95,config!$D$95)</f>
        <v/>
      </c>
      <c r="AC2">
        <f>TR(tickers!$B$1402:$B$1601,config!$C$95&amp;".date;"&amp;config!$C$95,config!$D$95)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B2:B201</t>
        </is>
      </c>
      <c r="E1" t="inlineStr">
        <is>
          <t>tickers B202:B401</t>
        </is>
      </c>
      <c r="I1" t="inlineStr">
        <is>
          <t>tickers B402:B601</t>
        </is>
      </c>
      <c r="M1" t="inlineStr">
        <is>
          <t>tickers B602:B801</t>
        </is>
      </c>
      <c r="Q1" t="inlineStr">
        <is>
          <t>tickers B802:B1001</t>
        </is>
      </c>
      <c r="U1" t="inlineStr">
        <is>
          <t>tickers B1002:B1201</t>
        </is>
      </c>
      <c r="Y1" t="inlineStr">
        <is>
          <t>tickers B1202:B1401</t>
        </is>
      </c>
      <c r="AC1" t="inlineStr">
        <is>
          <t>tickers B1402:B1601</t>
        </is>
      </c>
    </row>
    <row r="2">
      <c r="A2">
        <f>TR(tickers!$B$2:$B$201,config!$C$96&amp;".date;"&amp;config!$C$96,config!$D$96)</f>
        <v/>
      </c>
      <c r="E2">
        <f>TR(tickers!$B$202:$B$401,config!$C$96&amp;".date;"&amp;config!$C$96,config!$D$96)</f>
        <v/>
      </c>
      <c r="I2">
        <f>TR(tickers!$B$402:$B$601,config!$C$96&amp;".date;"&amp;config!$C$96,config!$D$96)</f>
        <v/>
      </c>
      <c r="M2">
        <f>TR(tickers!$B$602:$B$801,config!$C$96&amp;".date;"&amp;config!$C$96,config!$D$96)</f>
        <v/>
      </c>
      <c r="Q2">
        <f>TR(tickers!$B$802:$B$1001,config!$C$96&amp;".date;"&amp;config!$C$96,config!$D$96)</f>
        <v/>
      </c>
      <c r="U2">
        <f>TR(tickers!$B$1002:$B$1201,config!$C$96&amp;".date;"&amp;config!$C$96,config!$D$96)</f>
        <v/>
      </c>
      <c r="Y2">
        <f>TR(tickers!$B$1202:$B$1401,config!$C$96&amp;".date;"&amp;config!$C$96,config!$D$96)</f>
        <v/>
      </c>
      <c r="AC2">
        <f>TR(tickers!$B$1402:$B$1601,config!$C$96&amp;".date;"&amp;config!$C$96,config!$D$96)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TR(tickers!$B$2:$B$26,"TR.TotalReturn.date;TR.TotalReturn",config!$B$11)</f>
        <v/>
      </c>
      <c r="E2">
        <f>TR(tickers!$B$27:$B$51,"TR.TotalReturn.date;TR.TotalReturn",config!$B$11)</f>
        <v/>
      </c>
      <c r="I2">
        <f>TR(tickers!$B$52:$B$76,"TR.TotalReturn.date;TR.TotalReturn",config!$B$11)</f>
        <v/>
      </c>
      <c r="M2">
        <f>TR(tickers!$B$77:$B$101,"TR.TotalReturn.date;TR.TotalReturn",config!$B$11)</f>
        <v/>
      </c>
      <c r="Q2">
        <f>TR(tickers!$B$102:$B$126,"TR.TotalReturn.date;TR.TotalReturn",config!$B$11)</f>
        <v/>
      </c>
      <c r="U2">
        <f>TR(tickers!$B$127:$B$151,"TR.TotalReturn.date;TR.TotalReturn",config!$B$11)</f>
        <v/>
      </c>
      <c r="Y2">
        <f>TR(tickers!$B$152:$B$176,"TR.TotalReturn.date;TR.TotalReturn",config!$B$11)</f>
        <v/>
      </c>
      <c r="AC2">
        <f>TR(tickers!$B$177:$B$201,"TR.TotalReturn.date;TR.TotalReturn",config!$B$11)</f>
        <v/>
      </c>
      <c r="AG2">
        <f>TR(tickers!$B$202:$B$226,"TR.TotalReturn.date;TR.TotalReturn",config!$B$11)</f>
        <v/>
      </c>
      <c r="AK2">
        <f>TR(tickers!$B$227:$B$251,"TR.TotalReturn.date;TR.TotalReturn",config!$B$11)</f>
        <v/>
      </c>
      <c r="AO2">
        <f>TR(tickers!$B$252:$B$276,"TR.TotalReturn.date;TR.TotalReturn",config!$B$11)</f>
        <v/>
      </c>
      <c r="AS2">
        <f>TR(tickers!$B$277:$B$301,"TR.TotalReturn.date;TR.TotalReturn",config!$B$11)</f>
        <v/>
      </c>
      <c r="AW2">
        <f>TR(tickers!$B$302:$B$326,"TR.TotalReturn.date;TR.TotalReturn",config!$B$11)</f>
        <v/>
      </c>
      <c r="BA2">
        <f>TR(tickers!$B$327:$B$351,"TR.TotalReturn.date;TR.TotalReturn",config!$B$11)</f>
        <v/>
      </c>
      <c r="BE2">
        <f>TR(tickers!$B$352:$B$376,"TR.TotalReturn.date;TR.TotalReturn",config!$B$11)</f>
        <v/>
      </c>
      <c r="BI2">
        <f>TR(tickers!$B$377:$B$401,"TR.TotalReturn.date;TR.TotalReturn",config!$B$11)</f>
        <v/>
      </c>
      <c r="BM2">
        <f>TR(tickers!$B$402:$B$426,"TR.TotalReturn.date;TR.TotalReturn",config!$B$11)</f>
        <v/>
      </c>
      <c r="BQ2">
        <f>TR(tickers!$B$427:$B$451,"TR.TotalReturn.date;TR.TotalReturn",config!$B$11)</f>
        <v/>
      </c>
      <c r="BU2">
        <f>TR(tickers!$B$452:$B$476,"TR.TotalReturn.date;TR.TotalReturn",config!$B$11)</f>
        <v/>
      </c>
      <c r="BY2">
        <f>TR(tickers!$B$477:$B$501,"TR.TotalReturn.date;TR.TotalReturn",config!$B$11)</f>
        <v/>
      </c>
      <c r="CC2">
        <f>TR(tickers!$B$502:$B$526,"TR.TotalReturn.date;TR.TotalReturn",config!$B$11)</f>
        <v/>
      </c>
      <c r="CG2">
        <f>TR(tickers!$B$527:$B$551,"TR.TotalReturn.date;TR.TotalReturn",config!$B$11)</f>
        <v/>
      </c>
      <c r="CK2">
        <f>TR(tickers!$B$552:$B$576,"TR.TotalReturn.date;TR.TotalReturn",config!$B$11)</f>
        <v/>
      </c>
      <c r="CO2">
        <f>TR(tickers!$B$577:$B$601,"TR.TotalReturn.date;TR.TotalReturn",config!$B$11)</f>
        <v/>
      </c>
      <c r="CS2">
        <f>TR(tickers!$B$602:$B$626,"TR.TotalReturn.date;TR.TotalReturn",config!$B$11)</f>
        <v/>
      </c>
      <c r="CW2">
        <f>TR(tickers!$B$627:$B$651,"TR.TotalReturn.date;TR.TotalReturn",config!$B$11)</f>
        <v/>
      </c>
      <c r="DA2">
        <f>TR(tickers!$B$652:$B$676,"TR.TotalReturn.date;TR.TotalReturn",config!$B$11)</f>
        <v/>
      </c>
      <c r="DE2">
        <f>TR(tickers!$B$677:$B$701,"TR.TotalReturn.date;TR.TotalReturn",config!$B$11)</f>
        <v/>
      </c>
      <c r="DI2">
        <f>TR(tickers!$B$702:$B$726,"TR.TotalReturn.date;TR.TotalReturn",config!$B$11)</f>
        <v/>
      </c>
      <c r="DM2">
        <f>TR(tickers!$B$727:$B$751,"TR.TotalReturn.date;TR.TotalReturn",config!$B$11)</f>
        <v/>
      </c>
      <c r="DQ2">
        <f>TR(tickers!$B$752:$B$776,"TR.TotalReturn.date;TR.TotalReturn",config!$B$11)</f>
        <v/>
      </c>
      <c r="DU2">
        <f>TR(tickers!$B$777:$B$801,"TR.TotalReturn.date;TR.TotalReturn",config!$B$11)</f>
        <v/>
      </c>
      <c r="DY2">
        <f>TR(tickers!$B$802:$B$826,"TR.TotalReturn.date;TR.TotalReturn",config!$B$11)</f>
        <v/>
      </c>
      <c r="EC2">
        <f>TR(tickers!$B$827:$B$851,"TR.TotalReturn.date;TR.TotalReturn",config!$B$11)</f>
        <v/>
      </c>
      <c r="EG2">
        <f>TR(tickers!$B$852:$B$876,"TR.TotalReturn.date;TR.TotalReturn",config!$B$11)</f>
        <v/>
      </c>
      <c r="EK2">
        <f>TR(tickers!$B$877:$B$901,"TR.TotalReturn.date;TR.TotalReturn",config!$B$11)</f>
        <v/>
      </c>
      <c r="EO2">
        <f>TR(tickers!$B$902:$B$926,"TR.TotalReturn.date;TR.TotalReturn",config!$B$11)</f>
        <v/>
      </c>
      <c r="ES2">
        <f>TR(tickers!$B$927:$B$951,"TR.TotalReturn.date;TR.TotalReturn",config!$B$11)</f>
        <v/>
      </c>
      <c r="EW2">
        <f>TR(tickers!$B$952:$B$976,"TR.TotalReturn.date;TR.TotalReturn",config!$B$11)</f>
        <v/>
      </c>
      <c r="FA2">
        <f>TR(tickers!$B$977:$B$1001,"TR.TotalReturn.date;TR.TotalReturn",config!$B$11)</f>
        <v/>
      </c>
      <c r="FE2">
        <f>TR(tickers!$B$1002:$B$1026,"TR.TotalReturn.date;TR.TotalReturn",config!$B$11)</f>
        <v/>
      </c>
      <c r="FI2">
        <f>TR(tickers!$B$1027:$B$1051,"TR.TotalReturn.date;TR.TotalReturn",config!$B$11)</f>
        <v/>
      </c>
      <c r="FM2">
        <f>TR(tickers!$B$1052:$B$1076,"TR.TotalReturn.date;TR.TotalReturn",config!$B$11)</f>
        <v/>
      </c>
      <c r="FQ2">
        <f>TR(tickers!$B$1077:$B$1101,"TR.TotalReturn.date;TR.TotalReturn",config!$B$11)</f>
        <v/>
      </c>
      <c r="FU2">
        <f>TR(tickers!$B$1102:$B$1126,"TR.TotalReturn.date;TR.TotalReturn",config!$B$11)</f>
        <v/>
      </c>
      <c r="FY2">
        <f>TR(tickers!$B$1127:$B$1151,"TR.TotalReturn.date;TR.TotalReturn",config!$B$11)</f>
        <v/>
      </c>
      <c r="GC2">
        <f>TR(tickers!$B$1152:$B$1176,"TR.TotalReturn.date;TR.TotalReturn",config!$B$11)</f>
        <v/>
      </c>
      <c r="GG2">
        <f>TR(tickers!$B$1177:$B$1201,"TR.TotalReturn.date;TR.TotalReturn",config!$B$11)</f>
        <v/>
      </c>
      <c r="GK2">
        <f>TR(tickers!$B$1202:$B$1226,"TR.TotalReturn.date;TR.TotalReturn",config!$B$11)</f>
        <v/>
      </c>
      <c r="GO2">
        <f>TR(tickers!$B$1227:$B$1251,"TR.TotalReturn.date;TR.TotalReturn",config!$B$11)</f>
        <v/>
      </c>
      <c r="GS2">
        <f>TR(tickers!$B$1252:$B$1276,"TR.TotalReturn.date;TR.TotalReturn",config!$B$11)</f>
        <v/>
      </c>
      <c r="GW2">
        <f>TR(tickers!$B$1277:$B$1301,"TR.TotalReturn.date;TR.TotalReturn",config!$B$11)</f>
        <v/>
      </c>
      <c r="HA2">
        <f>TR(tickers!$B$1302:$B$1326,"TR.TotalReturn.date;TR.TotalReturn",config!$B$11)</f>
        <v/>
      </c>
      <c r="HE2">
        <f>TR(tickers!$B$1327:$B$1351,"TR.TotalReturn.date;TR.TotalReturn",config!$B$11)</f>
        <v/>
      </c>
      <c r="HI2">
        <f>TR(tickers!$B$1352:$B$1376,"TR.TotalReturn.date;TR.TotalReturn",config!$B$11)</f>
        <v/>
      </c>
      <c r="HM2">
        <f>TR(tickers!$B$1377:$B$1401,"TR.TotalReturn.date;TR.TotalReturn",config!$B$11)</f>
        <v/>
      </c>
      <c r="HQ2">
        <f>TR(tickers!$B$1402:$B$1426,"TR.TotalReturn.date;TR.TotalReturn",config!$B$11)</f>
        <v/>
      </c>
      <c r="HU2">
        <f>TR(tickers!$B$1427:$B$1451,"TR.TotalReturn.date;TR.TotalReturn",config!$B$11)</f>
        <v/>
      </c>
      <c r="HY2">
        <f>TR(tickers!$B$1452:$B$1476,"TR.TotalReturn.date;TR.TotalReturn",config!$B$11)</f>
        <v/>
      </c>
      <c r="IC2">
        <f>TR(tickers!$B$1477:$B$1501,"TR.TotalReturn.date;TR.TotalReturn",config!$B$11)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TR(tickers!$B$2:$B$26,"TR.PriceClose.date;TR.PriceClose",config!$B$11)</f>
        <v/>
      </c>
      <c r="E2">
        <f>TR(tickers!$B$27:$B$51,"TR.PriceClose.date;TR.PriceClose",config!$B$11)</f>
        <v/>
      </c>
      <c r="I2">
        <f>TR(tickers!$B$52:$B$76,"TR.PriceClose.date;TR.PriceClose",config!$B$11)</f>
        <v/>
      </c>
      <c r="M2">
        <f>TR(tickers!$B$77:$B$101,"TR.PriceClose.date;TR.PriceClose",config!$B$11)</f>
        <v/>
      </c>
      <c r="Q2">
        <f>TR(tickers!$B$102:$B$126,"TR.PriceClose.date;TR.PriceClose",config!$B$11)</f>
        <v/>
      </c>
      <c r="U2">
        <f>TR(tickers!$B$127:$B$151,"TR.PriceClose.date;TR.PriceClose",config!$B$11)</f>
        <v/>
      </c>
      <c r="Y2">
        <f>TR(tickers!$B$152:$B$176,"TR.PriceClose.date;TR.PriceClose",config!$B$11)</f>
        <v/>
      </c>
      <c r="AC2">
        <f>TR(tickers!$B$177:$B$201,"TR.PriceClose.date;TR.PriceClose",config!$B$11)</f>
        <v/>
      </c>
      <c r="AG2">
        <f>TR(tickers!$B$202:$B$226,"TR.PriceClose.date;TR.PriceClose",config!$B$11)</f>
        <v/>
      </c>
      <c r="AK2">
        <f>TR(tickers!$B$227:$B$251,"TR.PriceClose.date;TR.PriceClose",config!$B$11)</f>
        <v/>
      </c>
      <c r="AO2">
        <f>TR(tickers!$B$252:$B$276,"TR.PriceClose.date;TR.PriceClose",config!$B$11)</f>
        <v/>
      </c>
      <c r="AS2">
        <f>TR(tickers!$B$277:$B$301,"TR.PriceClose.date;TR.PriceClose",config!$B$11)</f>
        <v/>
      </c>
      <c r="AW2">
        <f>TR(tickers!$B$302:$B$326,"TR.PriceClose.date;TR.PriceClose",config!$B$11)</f>
        <v/>
      </c>
      <c r="BA2">
        <f>TR(tickers!$B$327:$B$351,"TR.PriceClose.date;TR.PriceClose",config!$B$11)</f>
        <v/>
      </c>
      <c r="BE2">
        <f>TR(tickers!$B$352:$B$376,"TR.PriceClose.date;TR.PriceClose",config!$B$11)</f>
        <v/>
      </c>
      <c r="BI2">
        <f>TR(tickers!$B$377:$B$401,"TR.PriceClose.date;TR.PriceClose",config!$B$11)</f>
        <v/>
      </c>
      <c r="BM2">
        <f>TR(tickers!$B$402:$B$426,"TR.PriceClose.date;TR.PriceClose",config!$B$11)</f>
        <v/>
      </c>
      <c r="BQ2">
        <f>TR(tickers!$B$427:$B$451,"TR.PriceClose.date;TR.PriceClose",config!$B$11)</f>
        <v/>
      </c>
      <c r="BU2">
        <f>TR(tickers!$B$452:$B$476,"TR.PriceClose.date;TR.PriceClose",config!$B$11)</f>
        <v/>
      </c>
      <c r="BY2">
        <f>TR(tickers!$B$477:$B$501,"TR.PriceClose.date;TR.PriceClose",config!$B$11)</f>
        <v/>
      </c>
      <c r="CC2">
        <f>TR(tickers!$B$502:$B$526,"TR.PriceClose.date;TR.PriceClose",config!$B$11)</f>
        <v/>
      </c>
      <c r="CG2">
        <f>TR(tickers!$B$527:$B$551,"TR.PriceClose.date;TR.PriceClose",config!$B$11)</f>
        <v/>
      </c>
      <c r="CK2">
        <f>TR(tickers!$B$552:$B$576,"TR.PriceClose.date;TR.PriceClose",config!$B$11)</f>
        <v/>
      </c>
      <c r="CO2">
        <f>TR(tickers!$B$577:$B$601,"TR.PriceClose.date;TR.PriceClose",config!$B$11)</f>
        <v/>
      </c>
      <c r="CS2">
        <f>TR(tickers!$B$602:$B$626,"TR.PriceClose.date;TR.PriceClose",config!$B$11)</f>
        <v/>
      </c>
      <c r="CW2">
        <f>TR(tickers!$B$627:$B$651,"TR.PriceClose.date;TR.PriceClose",config!$B$11)</f>
        <v/>
      </c>
      <c r="DA2">
        <f>TR(tickers!$B$652:$B$676,"TR.PriceClose.date;TR.PriceClose",config!$B$11)</f>
        <v/>
      </c>
      <c r="DE2">
        <f>TR(tickers!$B$677:$B$701,"TR.PriceClose.date;TR.PriceClose",config!$B$11)</f>
        <v/>
      </c>
      <c r="DI2">
        <f>TR(tickers!$B$702:$B$726,"TR.PriceClose.date;TR.PriceClose",config!$B$11)</f>
        <v/>
      </c>
      <c r="DM2">
        <f>TR(tickers!$B$727:$B$751,"TR.PriceClose.date;TR.PriceClose",config!$B$11)</f>
        <v/>
      </c>
      <c r="DQ2">
        <f>TR(tickers!$B$752:$B$776,"TR.PriceClose.date;TR.PriceClose",config!$B$11)</f>
        <v/>
      </c>
      <c r="DU2">
        <f>TR(tickers!$B$777:$B$801,"TR.PriceClose.date;TR.PriceClose",config!$B$11)</f>
        <v/>
      </c>
      <c r="DY2">
        <f>TR(tickers!$B$802:$B$826,"TR.PriceClose.date;TR.PriceClose",config!$B$11)</f>
        <v/>
      </c>
      <c r="EC2">
        <f>TR(tickers!$B$827:$B$851,"TR.PriceClose.date;TR.PriceClose",config!$B$11)</f>
        <v/>
      </c>
      <c r="EG2">
        <f>TR(tickers!$B$852:$B$876,"TR.PriceClose.date;TR.PriceClose",config!$B$11)</f>
        <v/>
      </c>
      <c r="EK2">
        <f>TR(tickers!$B$877:$B$901,"TR.PriceClose.date;TR.PriceClose",config!$B$11)</f>
        <v/>
      </c>
      <c r="EO2">
        <f>TR(tickers!$B$902:$B$926,"TR.PriceClose.date;TR.PriceClose",config!$B$11)</f>
        <v/>
      </c>
      <c r="ES2">
        <f>TR(tickers!$B$927:$B$951,"TR.PriceClose.date;TR.PriceClose",config!$B$11)</f>
        <v/>
      </c>
      <c r="EW2">
        <f>TR(tickers!$B$952:$B$976,"TR.PriceClose.date;TR.PriceClose",config!$B$11)</f>
        <v/>
      </c>
      <c r="FA2">
        <f>TR(tickers!$B$977:$B$1001,"TR.PriceClose.date;TR.PriceClose",config!$B$11)</f>
        <v/>
      </c>
      <c r="FE2">
        <f>TR(tickers!$B$1002:$B$1026,"TR.PriceClose.date;TR.PriceClose",config!$B$11)</f>
        <v/>
      </c>
      <c r="FI2">
        <f>TR(tickers!$B$1027:$B$1051,"TR.PriceClose.date;TR.PriceClose",config!$B$11)</f>
        <v/>
      </c>
      <c r="FM2">
        <f>TR(tickers!$B$1052:$B$1076,"TR.PriceClose.date;TR.PriceClose",config!$B$11)</f>
        <v/>
      </c>
      <c r="FQ2">
        <f>TR(tickers!$B$1077:$B$1101,"TR.PriceClose.date;TR.PriceClose",config!$B$11)</f>
        <v/>
      </c>
      <c r="FU2">
        <f>TR(tickers!$B$1102:$B$1126,"TR.PriceClose.date;TR.PriceClose",config!$B$11)</f>
        <v/>
      </c>
      <c r="FY2">
        <f>TR(tickers!$B$1127:$B$1151,"TR.PriceClose.date;TR.PriceClose",config!$B$11)</f>
        <v/>
      </c>
      <c r="GC2">
        <f>TR(tickers!$B$1152:$B$1176,"TR.PriceClose.date;TR.PriceClose",config!$B$11)</f>
        <v/>
      </c>
      <c r="GG2">
        <f>TR(tickers!$B$1177:$B$1201,"TR.PriceClose.date;TR.PriceClose",config!$B$11)</f>
        <v/>
      </c>
      <c r="GK2">
        <f>TR(tickers!$B$1202:$B$1226,"TR.PriceClose.date;TR.PriceClose",config!$B$11)</f>
        <v/>
      </c>
      <c r="GO2">
        <f>TR(tickers!$B$1227:$B$1251,"TR.PriceClose.date;TR.PriceClose",config!$B$11)</f>
        <v/>
      </c>
      <c r="GS2">
        <f>TR(tickers!$B$1252:$B$1276,"TR.PriceClose.date;TR.PriceClose",config!$B$11)</f>
        <v/>
      </c>
      <c r="GW2">
        <f>TR(tickers!$B$1277:$B$1301,"TR.PriceClose.date;TR.PriceClose",config!$B$11)</f>
        <v/>
      </c>
      <c r="HA2">
        <f>TR(tickers!$B$1302:$B$1326,"TR.PriceClose.date;TR.PriceClose",config!$B$11)</f>
        <v/>
      </c>
      <c r="HE2">
        <f>TR(tickers!$B$1327:$B$1351,"TR.PriceClose.date;TR.PriceClose",config!$B$11)</f>
        <v/>
      </c>
      <c r="HI2">
        <f>TR(tickers!$B$1352:$B$1376,"TR.PriceClose.date;TR.PriceClose",config!$B$11)</f>
        <v/>
      </c>
      <c r="HM2">
        <f>TR(tickers!$B$1377:$B$1401,"TR.PriceClose.date;TR.PriceClose",config!$B$11)</f>
        <v/>
      </c>
      <c r="HQ2">
        <f>TR(tickers!$B$1402:$B$1426,"TR.PriceClose.date;TR.PriceClose",config!$B$11)</f>
        <v/>
      </c>
      <c r="HU2">
        <f>TR(tickers!$B$1427:$B$1451,"TR.PriceClose.date;TR.PriceClose",config!$B$11)</f>
        <v/>
      </c>
      <c r="HY2">
        <f>TR(tickers!$B$1452:$B$1476,"TR.PriceClose.date;TR.PriceClose",config!$B$11)</f>
        <v/>
      </c>
      <c r="IC2">
        <f>TR(tickers!$B$1477:$B$1501,"TR.PriceClose.date;TR.PriceClose",config!$B$11)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TR(tickers!$B$2:$B$26,"TR.Volume.date;TR.Volume",config!$B$11)</f>
        <v/>
      </c>
      <c r="E2">
        <f>TR(tickers!$B$27:$B$51,"TR.Volume.date;TR.Volume",config!$B$11)</f>
        <v/>
      </c>
      <c r="I2">
        <f>TR(tickers!$B$52:$B$76,"TR.Volume.date;TR.Volume",config!$B$11)</f>
        <v/>
      </c>
      <c r="M2">
        <f>TR(tickers!$B$77:$B$101,"TR.Volume.date;TR.Volume",config!$B$11)</f>
        <v/>
      </c>
      <c r="Q2">
        <f>TR(tickers!$B$102:$B$126,"TR.Volume.date;TR.Volume",config!$B$11)</f>
        <v/>
      </c>
      <c r="U2">
        <f>TR(tickers!$B$127:$B$151,"TR.Volume.date;TR.Volume",config!$B$11)</f>
        <v/>
      </c>
      <c r="Y2">
        <f>TR(tickers!$B$152:$B$176,"TR.Volume.date;TR.Volume",config!$B$11)</f>
        <v/>
      </c>
      <c r="AC2">
        <f>TR(tickers!$B$177:$B$201,"TR.Volume.date;TR.Volume",config!$B$11)</f>
        <v/>
      </c>
      <c r="AG2">
        <f>TR(tickers!$B$202:$B$226,"TR.Volume.date;TR.Volume",config!$B$11)</f>
        <v/>
      </c>
      <c r="AK2">
        <f>TR(tickers!$B$227:$B$251,"TR.Volume.date;TR.Volume",config!$B$11)</f>
        <v/>
      </c>
      <c r="AO2">
        <f>TR(tickers!$B$252:$B$276,"TR.Volume.date;TR.Volume",config!$B$11)</f>
        <v/>
      </c>
      <c r="AS2">
        <f>TR(tickers!$B$277:$B$301,"TR.Volume.date;TR.Volume",config!$B$11)</f>
        <v/>
      </c>
      <c r="AW2">
        <f>TR(tickers!$B$302:$B$326,"TR.Volume.date;TR.Volume",config!$B$11)</f>
        <v/>
      </c>
      <c r="BA2">
        <f>TR(tickers!$B$327:$B$351,"TR.Volume.date;TR.Volume",config!$B$11)</f>
        <v/>
      </c>
      <c r="BE2">
        <f>TR(tickers!$B$352:$B$376,"TR.Volume.date;TR.Volume",config!$B$11)</f>
        <v/>
      </c>
      <c r="BI2">
        <f>TR(tickers!$B$377:$B$401,"TR.Volume.date;TR.Volume",config!$B$11)</f>
        <v/>
      </c>
      <c r="BM2">
        <f>TR(tickers!$B$402:$B$426,"TR.Volume.date;TR.Volume",config!$B$11)</f>
        <v/>
      </c>
      <c r="BQ2">
        <f>TR(tickers!$B$427:$B$451,"TR.Volume.date;TR.Volume",config!$B$11)</f>
        <v/>
      </c>
      <c r="BU2">
        <f>TR(tickers!$B$452:$B$476,"TR.Volume.date;TR.Volume",config!$B$11)</f>
        <v/>
      </c>
      <c r="BY2">
        <f>TR(tickers!$B$477:$B$501,"TR.Volume.date;TR.Volume",config!$B$11)</f>
        <v/>
      </c>
      <c r="CC2">
        <f>TR(tickers!$B$502:$B$526,"TR.Volume.date;TR.Volume",config!$B$11)</f>
        <v/>
      </c>
      <c r="CG2">
        <f>TR(tickers!$B$527:$B$551,"TR.Volume.date;TR.Volume",config!$B$11)</f>
        <v/>
      </c>
      <c r="CK2">
        <f>TR(tickers!$B$552:$B$576,"TR.Volume.date;TR.Volume",config!$B$11)</f>
        <v/>
      </c>
      <c r="CO2">
        <f>TR(tickers!$B$577:$B$601,"TR.Volume.date;TR.Volume",config!$B$11)</f>
        <v/>
      </c>
      <c r="CS2">
        <f>TR(tickers!$B$602:$B$626,"TR.Volume.date;TR.Volume",config!$B$11)</f>
        <v/>
      </c>
      <c r="CW2">
        <f>TR(tickers!$B$627:$B$651,"TR.Volume.date;TR.Volume",config!$B$11)</f>
        <v/>
      </c>
      <c r="DA2">
        <f>TR(tickers!$B$652:$B$676,"TR.Volume.date;TR.Volume",config!$B$11)</f>
        <v/>
      </c>
      <c r="DE2">
        <f>TR(tickers!$B$677:$B$701,"TR.Volume.date;TR.Volume",config!$B$11)</f>
        <v/>
      </c>
      <c r="DI2">
        <f>TR(tickers!$B$702:$B$726,"TR.Volume.date;TR.Volume",config!$B$11)</f>
        <v/>
      </c>
      <c r="DM2">
        <f>TR(tickers!$B$727:$B$751,"TR.Volume.date;TR.Volume",config!$B$11)</f>
        <v/>
      </c>
      <c r="DQ2">
        <f>TR(tickers!$B$752:$B$776,"TR.Volume.date;TR.Volume",config!$B$11)</f>
        <v/>
      </c>
      <c r="DU2">
        <f>TR(tickers!$B$777:$B$801,"TR.Volume.date;TR.Volume",config!$B$11)</f>
        <v/>
      </c>
      <c r="DY2">
        <f>TR(tickers!$B$802:$B$826,"TR.Volume.date;TR.Volume",config!$B$11)</f>
        <v/>
      </c>
      <c r="EC2">
        <f>TR(tickers!$B$827:$B$851,"TR.Volume.date;TR.Volume",config!$B$11)</f>
        <v/>
      </c>
      <c r="EG2">
        <f>TR(tickers!$B$852:$B$876,"TR.Volume.date;TR.Volume",config!$B$11)</f>
        <v/>
      </c>
      <c r="EK2">
        <f>TR(tickers!$B$877:$B$901,"TR.Volume.date;TR.Volume",config!$B$11)</f>
        <v/>
      </c>
      <c r="EO2">
        <f>TR(tickers!$B$902:$B$926,"TR.Volume.date;TR.Volume",config!$B$11)</f>
        <v/>
      </c>
      <c r="ES2">
        <f>TR(tickers!$B$927:$B$951,"TR.Volume.date;TR.Volume",config!$B$11)</f>
        <v/>
      </c>
      <c r="EW2">
        <f>TR(tickers!$B$952:$B$976,"TR.Volume.date;TR.Volume",config!$B$11)</f>
        <v/>
      </c>
      <c r="FA2">
        <f>TR(tickers!$B$977:$B$1001,"TR.Volume.date;TR.Volume",config!$B$11)</f>
        <v/>
      </c>
      <c r="FE2">
        <f>TR(tickers!$B$1002:$B$1026,"TR.Volume.date;TR.Volume",config!$B$11)</f>
        <v/>
      </c>
      <c r="FI2">
        <f>TR(tickers!$B$1027:$B$1051,"TR.Volume.date;TR.Volume",config!$B$11)</f>
        <v/>
      </c>
      <c r="FM2">
        <f>TR(tickers!$B$1052:$B$1076,"TR.Volume.date;TR.Volume",config!$B$11)</f>
        <v/>
      </c>
      <c r="FQ2">
        <f>TR(tickers!$B$1077:$B$1101,"TR.Volume.date;TR.Volume",config!$B$11)</f>
        <v/>
      </c>
      <c r="FU2">
        <f>TR(tickers!$B$1102:$B$1126,"TR.Volume.date;TR.Volume",config!$B$11)</f>
        <v/>
      </c>
      <c r="FY2">
        <f>TR(tickers!$B$1127:$B$1151,"TR.Volume.date;TR.Volume",config!$B$11)</f>
        <v/>
      </c>
      <c r="GC2">
        <f>TR(tickers!$B$1152:$B$1176,"TR.Volume.date;TR.Volume",config!$B$11)</f>
        <v/>
      </c>
      <c r="GG2">
        <f>TR(tickers!$B$1177:$B$1201,"TR.Volume.date;TR.Volume",config!$B$11)</f>
        <v/>
      </c>
      <c r="GK2">
        <f>TR(tickers!$B$1202:$B$1226,"TR.Volume.date;TR.Volume",config!$B$11)</f>
        <v/>
      </c>
      <c r="GO2">
        <f>TR(tickers!$B$1227:$B$1251,"TR.Volume.date;TR.Volume",config!$B$11)</f>
        <v/>
      </c>
      <c r="GS2">
        <f>TR(tickers!$B$1252:$B$1276,"TR.Volume.date;TR.Volume",config!$B$11)</f>
        <v/>
      </c>
      <c r="GW2">
        <f>TR(tickers!$B$1277:$B$1301,"TR.Volume.date;TR.Volume",config!$B$11)</f>
        <v/>
      </c>
      <c r="HA2">
        <f>TR(tickers!$B$1302:$B$1326,"TR.Volume.date;TR.Volume",config!$B$11)</f>
        <v/>
      </c>
      <c r="HE2">
        <f>TR(tickers!$B$1327:$B$1351,"TR.Volume.date;TR.Volume",config!$B$11)</f>
        <v/>
      </c>
      <c r="HI2">
        <f>TR(tickers!$B$1352:$B$1376,"TR.Volume.date;TR.Volume",config!$B$11)</f>
        <v/>
      </c>
      <c r="HM2">
        <f>TR(tickers!$B$1377:$B$1401,"TR.Volume.date;TR.Volume",config!$B$11)</f>
        <v/>
      </c>
      <c r="HQ2">
        <f>TR(tickers!$B$1402:$B$1426,"TR.Volume.date;TR.Volume",config!$B$11)</f>
        <v/>
      </c>
      <c r="HU2">
        <f>TR(tickers!$B$1427:$B$1451,"TR.Volume.date;TR.Volume",config!$B$11)</f>
        <v/>
      </c>
      <c r="HY2">
        <f>TR(tickers!$B$1452:$B$1476,"TR.Volume.date;TR.Volume",config!$B$11)</f>
        <v/>
      </c>
      <c r="IC2">
        <f>TR(tickers!$B$1477:$B$1501,"TR.Volume.date;TR.Volume",config!$B$11)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TR(tickers!$B$2:$B$26,"TR.TotalReturn.date;TR.TotalReturn",config!$B$12)</f>
        <v/>
      </c>
      <c r="E2">
        <f>TR(tickers!$B$27:$B$51,"TR.TotalReturn.date;TR.TotalReturn",config!$B$12)</f>
        <v/>
      </c>
      <c r="I2">
        <f>TR(tickers!$B$52:$B$76,"TR.TotalReturn.date;TR.TotalReturn",config!$B$12)</f>
        <v/>
      </c>
      <c r="M2">
        <f>TR(tickers!$B$77:$B$101,"TR.TotalReturn.date;TR.TotalReturn",config!$B$12)</f>
        <v/>
      </c>
      <c r="Q2">
        <f>TR(tickers!$B$102:$B$126,"TR.TotalReturn.date;TR.TotalReturn",config!$B$12)</f>
        <v/>
      </c>
      <c r="U2">
        <f>TR(tickers!$B$127:$B$151,"TR.TotalReturn.date;TR.TotalReturn",config!$B$12)</f>
        <v/>
      </c>
      <c r="Y2">
        <f>TR(tickers!$B$152:$B$176,"TR.TotalReturn.date;TR.TotalReturn",config!$B$12)</f>
        <v/>
      </c>
      <c r="AC2">
        <f>TR(tickers!$B$177:$B$201,"TR.TotalReturn.date;TR.TotalReturn",config!$B$12)</f>
        <v/>
      </c>
      <c r="AG2">
        <f>TR(tickers!$B$202:$B$226,"TR.TotalReturn.date;TR.TotalReturn",config!$B$12)</f>
        <v/>
      </c>
      <c r="AK2">
        <f>TR(tickers!$B$227:$B$251,"TR.TotalReturn.date;TR.TotalReturn",config!$B$12)</f>
        <v/>
      </c>
      <c r="AO2">
        <f>TR(tickers!$B$252:$B$276,"TR.TotalReturn.date;TR.TotalReturn",config!$B$12)</f>
        <v/>
      </c>
      <c r="AS2">
        <f>TR(tickers!$B$277:$B$301,"TR.TotalReturn.date;TR.TotalReturn",config!$B$12)</f>
        <v/>
      </c>
      <c r="AW2">
        <f>TR(tickers!$B$302:$B$326,"TR.TotalReturn.date;TR.TotalReturn",config!$B$12)</f>
        <v/>
      </c>
      <c r="BA2">
        <f>TR(tickers!$B$327:$B$351,"TR.TotalReturn.date;TR.TotalReturn",config!$B$12)</f>
        <v/>
      </c>
      <c r="BE2">
        <f>TR(tickers!$B$352:$B$376,"TR.TotalReturn.date;TR.TotalReturn",config!$B$12)</f>
        <v/>
      </c>
      <c r="BI2">
        <f>TR(tickers!$B$377:$B$401,"TR.TotalReturn.date;TR.TotalReturn",config!$B$12)</f>
        <v/>
      </c>
      <c r="BM2">
        <f>TR(tickers!$B$402:$B$426,"TR.TotalReturn.date;TR.TotalReturn",config!$B$12)</f>
        <v/>
      </c>
      <c r="BQ2">
        <f>TR(tickers!$B$427:$B$451,"TR.TotalReturn.date;TR.TotalReturn",config!$B$12)</f>
        <v/>
      </c>
      <c r="BU2">
        <f>TR(tickers!$B$452:$B$476,"TR.TotalReturn.date;TR.TotalReturn",config!$B$12)</f>
        <v/>
      </c>
      <c r="BY2">
        <f>TR(tickers!$B$477:$B$501,"TR.TotalReturn.date;TR.TotalReturn",config!$B$12)</f>
        <v/>
      </c>
      <c r="CC2">
        <f>TR(tickers!$B$502:$B$526,"TR.TotalReturn.date;TR.TotalReturn",config!$B$12)</f>
        <v/>
      </c>
      <c r="CG2">
        <f>TR(tickers!$B$527:$B$551,"TR.TotalReturn.date;TR.TotalReturn",config!$B$12)</f>
        <v/>
      </c>
      <c r="CK2">
        <f>TR(tickers!$B$552:$B$576,"TR.TotalReturn.date;TR.TotalReturn",config!$B$12)</f>
        <v/>
      </c>
      <c r="CO2">
        <f>TR(tickers!$B$577:$B$601,"TR.TotalReturn.date;TR.TotalReturn",config!$B$12)</f>
        <v/>
      </c>
      <c r="CS2">
        <f>TR(tickers!$B$602:$B$626,"TR.TotalReturn.date;TR.TotalReturn",config!$B$12)</f>
        <v/>
      </c>
      <c r="CW2">
        <f>TR(tickers!$B$627:$B$651,"TR.TotalReturn.date;TR.TotalReturn",config!$B$12)</f>
        <v/>
      </c>
      <c r="DA2">
        <f>TR(tickers!$B$652:$B$676,"TR.TotalReturn.date;TR.TotalReturn",config!$B$12)</f>
        <v/>
      </c>
      <c r="DE2">
        <f>TR(tickers!$B$677:$B$701,"TR.TotalReturn.date;TR.TotalReturn",config!$B$12)</f>
        <v/>
      </c>
      <c r="DI2">
        <f>TR(tickers!$B$702:$B$726,"TR.TotalReturn.date;TR.TotalReturn",config!$B$12)</f>
        <v/>
      </c>
      <c r="DM2">
        <f>TR(tickers!$B$727:$B$751,"TR.TotalReturn.date;TR.TotalReturn",config!$B$12)</f>
        <v/>
      </c>
      <c r="DQ2">
        <f>TR(tickers!$B$752:$B$776,"TR.TotalReturn.date;TR.TotalReturn",config!$B$12)</f>
        <v/>
      </c>
      <c r="DU2">
        <f>TR(tickers!$B$777:$B$801,"TR.TotalReturn.date;TR.TotalReturn",config!$B$12)</f>
        <v/>
      </c>
      <c r="DY2">
        <f>TR(tickers!$B$802:$B$826,"TR.TotalReturn.date;TR.TotalReturn",config!$B$12)</f>
        <v/>
      </c>
      <c r="EC2">
        <f>TR(tickers!$B$827:$B$851,"TR.TotalReturn.date;TR.TotalReturn",config!$B$12)</f>
        <v/>
      </c>
      <c r="EG2">
        <f>TR(tickers!$B$852:$B$876,"TR.TotalReturn.date;TR.TotalReturn",config!$B$12)</f>
        <v/>
      </c>
      <c r="EK2">
        <f>TR(tickers!$B$877:$B$901,"TR.TotalReturn.date;TR.TotalReturn",config!$B$12)</f>
        <v/>
      </c>
      <c r="EO2">
        <f>TR(tickers!$B$902:$B$926,"TR.TotalReturn.date;TR.TotalReturn",config!$B$12)</f>
        <v/>
      </c>
      <c r="ES2">
        <f>TR(tickers!$B$927:$B$951,"TR.TotalReturn.date;TR.TotalReturn",config!$B$12)</f>
        <v/>
      </c>
      <c r="EW2">
        <f>TR(tickers!$B$952:$B$976,"TR.TotalReturn.date;TR.TotalReturn",config!$B$12)</f>
        <v/>
      </c>
      <c r="FA2">
        <f>TR(tickers!$B$977:$B$1001,"TR.TotalReturn.date;TR.TotalReturn",config!$B$12)</f>
        <v/>
      </c>
      <c r="FE2">
        <f>TR(tickers!$B$1002:$B$1026,"TR.TotalReturn.date;TR.TotalReturn",config!$B$12)</f>
        <v/>
      </c>
      <c r="FI2">
        <f>TR(tickers!$B$1027:$B$1051,"TR.TotalReturn.date;TR.TotalReturn",config!$B$12)</f>
        <v/>
      </c>
      <c r="FM2">
        <f>TR(tickers!$B$1052:$B$1076,"TR.TotalReturn.date;TR.TotalReturn",config!$B$12)</f>
        <v/>
      </c>
      <c r="FQ2">
        <f>TR(tickers!$B$1077:$B$1101,"TR.TotalReturn.date;TR.TotalReturn",config!$B$12)</f>
        <v/>
      </c>
      <c r="FU2">
        <f>TR(tickers!$B$1102:$B$1126,"TR.TotalReturn.date;TR.TotalReturn",config!$B$12)</f>
        <v/>
      </c>
      <c r="FY2">
        <f>TR(tickers!$B$1127:$B$1151,"TR.TotalReturn.date;TR.TotalReturn",config!$B$12)</f>
        <v/>
      </c>
      <c r="GC2">
        <f>TR(tickers!$B$1152:$B$1176,"TR.TotalReturn.date;TR.TotalReturn",config!$B$12)</f>
        <v/>
      </c>
      <c r="GG2">
        <f>TR(tickers!$B$1177:$B$1201,"TR.TotalReturn.date;TR.TotalReturn",config!$B$12)</f>
        <v/>
      </c>
      <c r="GK2">
        <f>TR(tickers!$B$1202:$B$1226,"TR.TotalReturn.date;TR.TotalReturn",config!$B$12)</f>
        <v/>
      </c>
      <c r="GO2">
        <f>TR(tickers!$B$1227:$B$1251,"TR.TotalReturn.date;TR.TotalReturn",config!$B$12)</f>
        <v/>
      </c>
      <c r="GS2">
        <f>TR(tickers!$B$1252:$B$1276,"TR.TotalReturn.date;TR.TotalReturn",config!$B$12)</f>
        <v/>
      </c>
      <c r="GW2">
        <f>TR(tickers!$B$1277:$B$1301,"TR.TotalReturn.date;TR.TotalReturn",config!$B$12)</f>
        <v/>
      </c>
      <c r="HA2">
        <f>TR(tickers!$B$1302:$B$1326,"TR.TotalReturn.date;TR.TotalReturn",config!$B$12)</f>
        <v/>
      </c>
      <c r="HE2">
        <f>TR(tickers!$B$1327:$B$1351,"TR.TotalReturn.date;TR.TotalReturn",config!$B$12)</f>
        <v/>
      </c>
      <c r="HI2">
        <f>TR(tickers!$B$1352:$B$1376,"TR.TotalReturn.date;TR.TotalReturn",config!$B$12)</f>
        <v/>
      </c>
      <c r="HM2">
        <f>TR(tickers!$B$1377:$B$1401,"TR.TotalReturn.date;TR.TotalReturn",config!$B$12)</f>
        <v/>
      </c>
      <c r="HQ2">
        <f>TR(tickers!$B$1402:$B$1426,"TR.TotalReturn.date;TR.TotalReturn",config!$B$12)</f>
        <v/>
      </c>
      <c r="HU2">
        <f>TR(tickers!$B$1427:$B$1451,"TR.TotalReturn.date;TR.TotalReturn",config!$B$12)</f>
        <v/>
      </c>
      <c r="HY2">
        <f>TR(tickers!$B$1452:$B$1476,"TR.TotalReturn.date;TR.TotalReturn",config!$B$12)</f>
        <v/>
      </c>
      <c r="IC2">
        <f>TR(tickers!$B$1477:$B$1501,"TR.TotalReturn.date;TR.TotalReturn",config!$B$12)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TR(tickers!$B$2:$B$26,"TR.PriceClose.date;TR.PriceClose",config!$B$12)</f>
        <v/>
      </c>
      <c r="E2">
        <f>TR(tickers!$B$27:$B$51,"TR.PriceClose.date;TR.PriceClose",config!$B$12)</f>
        <v/>
      </c>
      <c r="I2">
        <f>TR(tickers!$B$52:$B$76,"TR.PriceClose.date;TR.PriceClose",config!$B$12)</f>
        <v/>
      </c>
      <c r="M2">
        <f>TR(tickers!$B$77:$B$101,"TR.PriceClose.date;TR.PriceClose",config!$B$12)</f>
        <v/>
      </c>
      <c r="Q2">
        <f>TR(tickers!$B$102:$B$126,"TR.PriceClose.date;TR.PriceClose",config!$B$12)</f>
        <v/>
      </c>
      <c r="U2">
        <f>TR(tickers!$B$127:$B$151,"TR.PriceClose.date;TR.PriceClose",config!$B$12)</f>
        <v/>
      </c>
      <c r="Y2">
        <f>TR(tickers!$B$152:$B$176,"TR.PriceClose.date;TR.PriceClose",config!$B$12)</f>
        <v/>
      </c>
      <c r="AC2">
        <f>TR(tickers!$B$177:$B$201,"TR.PriceClose.date;TR.PriceClose",config!$B$12)</f>
        <v/>
      </c>
      <c r="AG2">
        <f>TR(tickers!$B$202:$B$226,"TR.PriceClose.date;TR.PriceClose",config!$B$12)</f>
        <v/>
      </c>
      <c r="AK2">
        <f>TR(tickers!$B$227:$B$251,"TR.PriceClose.date;TR.PriceClose",config!$B$12)</f>
        <v/>
      </c>
      <c r="AO2">
        <f>TR(tickers!$B$252:$B$276,"TR.PriceClose.date;TR.PriceClose",config!$B$12)</f>
        <v/>
      </c>
      <c r="AS2">
        <f>TR(tickers!$B$277:$B$301,"TR.PriceClose.date;TR.PriceClose",config!$B$12)</f>
        <v/>
      </c>
      <c r="AW2">
        <f>TR(tickers!$B$302:$B$326,"TR.PriceClose.date;TR.PriceClose",config!$B$12)</f>
        <v/>
      </c>
      <c r="BA2">
        <f>TR(tickers!$B$327:$B$351,"TR.PriceClose.date;TR.PriceClose",config!$B$12)</f>
        <v/>
      </c>
      <c r="BE2">
        <f>TR(tickers!$B$352:$B$376,"TR.PriceClose.date;TR.PriceClose",config!$B$12)</f>
        <v/>
      </c>
      <c r="BI2">
        <f>TR(tickers!$B$377:$B$401,"TR.PriceClose.date;TR.PriceClose",config!$B$12)</f>
        <v/>
      </c>
      <c r="BM2">
        <f>TR(tickers!$B$402:$B$426,"TR.PriceClose.date;TR.PriceClose",config!$B$12)</f>
        <v/>
      </c>
      <c r="BQ2">
        <f>TR(tickers!$B$427:$B$451,"TR.PriceClose.date;TR.PriceClose",config!$B$12)</f>
        <v/>
      </c>
      <c r="BU2">
        <f>TR(tickers!$B$452:$B$476,"TR.PriceClose.date;TR.PriceClose",config!$B$12)</f>
        <v/>
      </c>
      <c r="BY2">
        <f>TR(tickers!$B$477:$B$501,"TR.PriceClose.date;TR.PriceClose",config!$B$12)</f>
        <v/>
      </c>
      <c r="CC2">
        <f>TR(tickers!$B$502:$B$526,"TR.PriceClose.date;TR.PriceClose",config!$B$12)</f>
        <v/>
      </c>
      <c r="CG2">
        <f>TR(tickers!$B$527:$B$551,"TR.PriceClose.date;TR.PriceClose",config!$B$12)</f>
        <v/>
      </c>
      <c r="CK2">
        <f>TR(tickers!$B$552:$B$576,"TR.PriceClose.date;TR.PriceClose",config!$B$12)</f>
        <v/>
      </c>
      <c r="CO2">
        <f>TR(tickers!$B$577:$B$601,"TR.PriceClose.date;TR.PriceClose",config!$B$12)</f>
        <v/>
      </c>
      <c r="CS2">
        <f>TR(tickers!$B$602:$B$626,"TR.PriceClose.date;TR.PriceClose",config!$B$12)</f>
        <v/>
      </c>
      <c r="CW2">
        <f>TR(tickers!$B$627:$B$651,"TR.PriceClose.date;TR.PriceClose",config!$B$12)</f>
        <v/>
      </c>
      <c r="DA2">
        <f>TR(tickers!$B$652:$B$676,"TR.PriceClose.date;TR.PriceClose",config!$B$12)</f>
        <v/>
      </c>
      <c r="DE2">
        <f>TR(tickers!$B$677:$B$701,"TR.PriceClose.date;TR.PriceClose",config!$B$12)</f>
        <v/>
      </c>
      <c r="DI2">
        <f>TR(tickers!$B$702:$B$726,"TR.PriceClose.date;TR.PriceClose",config!$B$12)</f>
        <v/>
      </c>
      <c r="DM2">
        <f>TR(tickers!$B$727:$B$751,"TR.PriceClose.date;TR.PriceClose",config!$B$12)</f>
        <v/>
      </c>
      <c r="DQ2">
        <f>TR(tickers!$B$752:$B$776,"TR.PriceClose.date;TR.PriceClose",config!$B$12)</f>
        <v/>
      </c>
      <c r="DU2">
        <f>TR(tickers!$B$777:$B$801,"TR.PriceClose.date;TR.PriceClose",config!$B$12)</f>
        <v/>
      </c>
      <c r="DY2">
        <f>TR(tickers!$B$802:$B$826,"TR.PriceClose.date;TR.PriceClose",config!$B$12)</f>
        <v/>
      </c>
      <c r="EC2">
        <f>TR(tickers!$B$827:$B$851,"TR.PriceClose.date;TR.PriceClose",config!$B$12)</f>
        <v/>
      </c>
      <c r="EG2">
        <f>TR(tickers!$B$852:$B$876,"TR.PriceClose.date;TR.PriceClose",config!$B$12)</f>
        <v/>
      </c>
      <c r="EK2">
        <f>TR(tickers!$B$877:$B$901,"TR.PriceClose.date;TR.PriceClose",config!$B$12)</f>
        <v/>
      </c>
      <c r="EO2">
        <f>TR(tickers!$B$902:$B$926,"TR.PriceClose.date;TR.PriceClose",config!$B$12)</f>
        <v/>
      </c>
      <c r="ES2">
        <f>TR(tickers!$B$927:$B$951,"TR.PriceClose.date;TR.PriceClose",config!$B$12)</f>
        <v/>
      </c>
      <c r="EW2">
        <f>TR(tickers!$B$952:$B$976,"TR.PriceClose.date;TR.PriceClose",config!$B$12)</f>
        <v/>
      </c>
      <c r="FA2">
        <f>TR(tickers!$B$977:$B$1001,"TR.PriceClose.date;TR.PriceClose",config!$B$12)</f>
        <v/>
      </c>
      <c r="FE2">
        <f>TR(tickers!$B$1002:$B$1026,"TR.PriceClose.date;TR.PriceClose",config!$B$12)</f>
        <v/>
      </c>
      <c r="FI2">
        <f>TR(tickers!$B$1027:$B$1051,"TR.PriceClose.date;TR.PriceClose",config!$B$12)</f>
        <v/>
      </c>
      <c r="FM2">
        <f>TR(tickers!$B$1052:$B$1076,"TR.PriceClose.date;TR.PriceClose",config!$B$12)</f>
        <v/>
      </c>
      <c r="FQ2">
        <f>TR(tickers!$B$1077:$B$1101,"TR.PriceClose.date;TR.PriceClose",config!$B$12)</f>
        <v/>
      </c>
      <c r="FU2">
        <f>TR(tickers!$B$1102:$B$1126,"TR.PriceClose.date;TR.PriceClose",config!$B$12)</f>
        <v/>
      </c>
      <c r="FY2">
        <f>TR(tickers!$B$1127:$B$1151,"TR.PriceClose.date;TR.PriceClose",config!$B$12)</f>
        <v/>
      </c>
      <c r="GC2">
        <f>TR(tickers!$B$1152:$B$1176,"TR.PriceClose.date;TR.PriceClose",config!$B$12)</f>
        <v/>
      </c>
      <c r="GG2">
        <f>TR(tickers!$B$1177:$B$1201,"TR.PriceClose.date;TR.PriceClose",config!$B$12)</f>
        <v/>
      </c>
      <c r="GK2">
        <f>TR(tickers!$B$1202:$B$1226,"TR.PriceClose.date;TR.PriceClose",config!$B$12)</f>
        <v/>
      </c>
      <c r="GO2">
        <f>TR(tickers!$B$1227:$B$1251,"TR.PriceClose.date;TR.PriceClose",config!$B$12)</f>
        <v/>
      </c>
      <c r="GS2">
        <f>TR(tickers!$B$1252:$B$1276,"TR.PriceClose.date;TR.PriceClose",config!$B$12)</f>
        <v/>
      </c>
      <c r="GW2">
        <f>TR(tickers!$B$1277:$B$1301,"TR.PriceClose.date;TR.PriceClose",config!$B$12)</f>
        <v/>
      </c>
      <c r="HA2">
        <f>TR(tickers!$B$1302:$B$1326,"TR.PriceClose.date;TR.PriceClose",config!$B$12)</f>
        <v/>
      </c>
      <c r="HE2">
        <f>TR(tickers!$B$1327:$B$1351,"TR.PriceClose.date;TR.PriceClose",config!$B$12)</f>
        <v/>
      </c>
      <c r="HI2">
        <f>TR(tickers!$B$1352:$B$1376,"TR.PriceClose.date;TR.PriceClose",config!$B$12)</f>
        <v/>
      </c>
      <c r="HM2">
        <f>TR(tickers!$B$1377:$B$1401,"TR.PriceClose.date;TR.PriceClose",config!$B$12)</f>
        <v/>
      </c>
      <c r="HQ2">
        <f>TR(tickers!$B$1402:$B$1426,"TR.PriceClose.date;TR.PriceClose",config!$B$12)</f>
        <v/>
      </c>
      <c r="HU2">
        <f>TR(tickers!$B$1427:$B$1451,"TR.PriceClose.date;TR.PriceClose",config!$B$12)</f>
        <v/>
      </c>
      <c r="HY2">
        <f>TR(tickers!$B$1452:$B$1476,"TR.PriceClose.date;TR.PriceClose",config!$B$12)</f>
        <v/>
      </c>
      <c r="IC2">
        <f>TR(tickers!$B$1477:$B$1501,"TR.PriceClose.date;TR.PriceClose",config!$B$12)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tickers B2:B26</t>
        </is>
      </c>
      <c r="E1" t="inlineStr">
        <is>
          <t>tickers B27:B51</t>
        </is>
      </c>
      <c r="I1" t="inlineStr">
        <is>
          <t>tickers B52:B76</t>
        </is>
      </c>
      <c r="M1" t="inlineStr">
        <is>
          <t>tickers B77:B101</t>
        </is>
      </c>
      <c r="Q1" t="inlineStr">
        <is>
          <t>tickers B102:B126</t>
        </is>
      </c>
      <c r="U1" t="inlineStr">
        <is>
          <t>tickers B127:B151</t>
        </is>
      </c>
      <c r="Y1" t="inlineStr">
        <is>
          <t>tickers B152:B176</t>
        </is>
      </c>
      <c r="AC1" t="inlineStr">
        <is>
          <t>tickers B177:B201</t>
        </is>
      </c>
      <c r="AG1" t="inlineStr">
        <is>
          <t>tickers B202:B226</t>
        </is>
      </c>
      <c r="AK1" t="inlineStr">
        <is>
          <t>tickers B227:B251</t>
        </is>
      </c>
      <c r="AO1" t="inlineStr">
        <is>
          <t>tickers B252:B276</t>
        </is>
      </c>
      <c r="AS1" t="inlineStr">
        <is>
          <t>tickers B277:B301</t>
        </is>
      </c>
      <c r="AW1" t="inlineStr">
        <is>
          <t>tickers B302:B326</t>
        </is>
      </c>
      <c r="BA1" t="inlineStr">
        <is>
          <t>tickers B327:B351</t>
        </is>
      </c>
      <c r="BE1" t="inlineStr">
        <is>
          <t>tickers B352:B376</t>
        </is>
      </c>
      <c r="BI1" t="inlineStr">
        <is>
          <t>tickers B377:B401</t>
        </is>
      </c>
      <c r="BM1" t="inlineStr">
        <is>
          <t>tickers B402:B426</t>
        </is>
      </c>
      <c r="BQ1" t="inlineStr">
        <is>
          <t>tickers B427:B451</t>
        </is>
      </c>
      <c r="BU1" t="inlineStr">
        <is>
          <t>tickers B452:B476</t>
        </is>
      </c>
      <c r="BY1" t="inlineStr">
        <is>
          <t>tickers B477:B501</t>
        </is>
      </c>
      <c r="CC1" t="inlineStr">
        <is>
          <t>tickers B502:B526</t>
        </is>
      </c>
      <c r="CG1" t="inlineStr">
        <is>
          <t>tickers B527:B551</t>
        </is>
      </c>
      <c r="CK1" t="inlineStr">
        <is>
          <t>tickers B552:B576</t>
        </is>
      </c>
      <c r="CO1" t="inlineStr">
        <is>
          <t>tickers B577:B601</t>
        </is>
      </c>
      <c r="CS1" t="inlineStr">
        <is>
          <t>tickers B602:B626</t>
        </is>
      </c>
      <c r="CW1" t="inlineStr">
        <is>
          <t>tickers B627:B651</t>
        </is>
      </c>
      <c r="DA1" t="inlineStr">
        <is>
          <t>tickers B652:B676</t>
        </is>
      </c>
      <c r="DE1" t="inlineStr">
        <is>
          <t>tickers B677:B701</t>
        </is>
      </c>
      <c r="DI1" t="inlineStr">
        <is>
          <t>tickers B702:B726</t>
        </is>
      </c>
      <c r="DM1" t="inlineStr">
        <is>
          <t>tickers B727:B751</t>
        </is>
      </c>
      <c r="DQ1" t="inlineStr">
        <is>
          <t>tickers B752:B776</t>
        </is>
      </c>
      <c r="DU1" t="inlineStr">
        <is>
          <t>tickers B777:B801</t>
        </is>
      </c>
      <c r="DY1" t="inlineStr">
        <is>
          <t>tickers B802:B826</t>
        </is>
      </c>
      <c r="EC1" t="inlineStr">
        <is>
          <t>tickers B827:B851</t>
        </is>
      </c>
      <c r="EG1" t="inlineStr">
        <is>
          <t>tickers B852:B876</t>
        </is>
      </c>
      <c r="EK1" t="inlineStr">
        <is>
          <t>tickers B877:B901</t>
        </is>
      </c>
      <c r="EO1" t="inlineStr">
        <is>
          <t>tickers B902:B926</t>
        </is>
      </c>
      <c r="ES1" t="inlineStr">
        <is>
          <t>tickers B927:B951</t>
        </is>
      </c>
      <c r="EW1" t="inlineStr">
        <is>
          <t>tickers B952:B976</t>
        </is>
      </c>
      <c r="FA1" t="inlineStr">
        <is>
          <t>tickers B977:B1001</t>
        </is>
      </c>
      <c r="FE1" t="inlineStr">
        <is>
          <t>tickers B1002:B1026</t>
        </is>
      </c>
      <c r="FI1" t="inlineStr">
        <is>
          <t>tickers B1027:B1051</t>
        </is>
      </c>
      <c r="FM1" t="inlineStr">
        <is>
          <t>tickers B1052:B1076</t>
        </is>
      </c>
      <c r="FQ1" t="inlineStr">
        <is>
          <t>tickers B1077:B1101</t>
        </is>
      </c>
      <c r="FU1" t="inlineStr">
        <is>
          <t>tickers B1102:B1126</t>
        </is>
      </c>
      <c r="FY1" t="inlineStr">
        <is>
          <t>tickers B1127:B1151</t>
        </is>
      </c>
      <c r="GC1" t="inlineStr">
        <is>
          <t>tickers B1152:B1176</t>
        </is>
      </c>
      <c r="GG1" t="inlineStr">
        <is>
          <t>tickers B1177:B1201</t>
        </is>
      </c>
      <c r="GK1" t="inlineStr">
        <is>
          <t>tickers B1202:B1226</t>
        </is>
      </c>
      <c r="GO1" t="inlineStr">
        <is>
          <t>tickers B1227:B1251</t>
        </is>
      </c>
      <c r="GS1" t="inlineStr">
        <is>
          <t>tickers B1252:B1276</t>
        </is>
      </c>
      <c r="GW1" t="inlineStr">
        <is>
          <t>tickers B1277:B1301</t>
        </is>
      </c>
      <c r="HA1" t="inlineStr">
        <is>
          <t>tickers B1302:B1326</t>
        </is>
      </c>
      <c r="HE1" t="inlineStr">
        <is>
          <t>tickers B1327:B1351</t>
        </is>
      </c>
      <c r="HI1" t="inlineStr">
        <is>
          <t>tickers B1352:B1376</t>
        </is>
      </c>
      <c r="HM1" t="inlineStr">
        <is>
          <t>tickers B1377:B1401</t>
        </is>
      </c>
      <c r="HQ1" t="inlineStr">
        <is>
          <t>tickers B1402:B1426</t>
        </is>
      </c>
      <c r="HU1" t="inlineStr">
        <is>
          <t>tickers B1427:B1451</t>
        </is>
      </c>
      <c r="HY1" t="inlineStr">
        <is>
          <t>tickers B1452:B1476</t>
        </is>
      </c>
      <c r="IC1" t="inlineStr">
        <is>
          <t>tickers B1477:B1501</t>
        </is>
      </c>
    </row>
    <row r="2">
      <c r="A2">
        <f>TR(tickers!$B$2:$B$26,"TR.Volume.date;TR.Volume",config!$B$12)</f>
        <v/>
      </c>
      <c r="E2">
        <f>TR(tickers!$B$27:$B$51,"TR.Volume.date;TR.Volume",config!$B$12)</f>
        <v/>
      </c>
      <c r="I2">
        <f>TR(tickers!$B$52:$B$76,"TR.Volume.date;TR.Volume",config!$B$12)</f>
        <v/>
      </c>
      <c r="M2">
        <f>TR(tickers!$B$77:$B$101,"TR.Volume.date;TR.Volume",config!$B$12)</f>
        <v/>
      </c>
      <c r="Q2">
        <f>TR(tickers!$B$102:$B$126,"TR.Volume.date;TR.Volume",config!$B$12)</f>
        <v/>
      </c>
      <c r="U2">
        <f>TR(tickers!$B$127:$B$151,"TR.Volume.date;TR.Volume",config!$B$12)</f>
        <v/>
      </c>
      <c r="Y2">
        <f>TR(tickers!$B$152:$B$176,"TR.Volume.date;TR.Volume",config!$B$12)</f>
        <v/>
      </c>
      <c r="AC2">
        <f>TR(tickers!$B$177:$B$201,"TR.Volume.date;TR.Volume",config!$B$12)</f>
        <v/>
      </c>
      <c r="AG2">
        <f>TR(tickers!$B$202:$B$226,"TR.Volume.date;TR.Volume",config!$B$12)</f>
        <v/>
      </c>
      <c r="AK2">
        <f>TR(tickers!$B$227:$B$251,"TR.Volume.date;TR.Volume",config!$B$12)</f>
        <v/>
      </c>
      <c r="AO2">
        <f>TR(tickers!$B$252:$B$276,"TR.Volume.date;TR.Volume",config!$B$12)</f>
        <v/>
      </c>
      <c r="AS2">
        <f>TR(tickers!$B$277:$B$301,"TR.Volume.date;TR.Volume",config!$B$12)</f>
        <v/>
      </c>
      <c r="AW2">
        <f>TR(tickers!$B$302:$B$326,"TR.Volume.date;TR.Volume",config!$B$12)</f>
        <v/>
      </c>
      <c r="BA2">
        <f>TR(tickers!$B$327:$B$351,"TR.Volume.date;TR.Volume",config!$B$12)</f>
        <v/>
      </c>
      <c r="BE2">
        <f>TR(tickers!$B$352:$B$376,"TR.Volume.date;TR.Volume",config!$B$12)</f>
        <v/>
      </c>
      <c r="BI2">
        <f>TR(tickers!$B$377:$B$401,"TR.Volume.date;TR.Volume",config!$B$12)</f>
        <v/>
      </c>
      <c r="BM2">
        <f>TR(tickers!$B$402:$B$426,"TR.Volume.date;TR.Volume",config!$B$12)</f>
        <v/>
      </c>
      <c r="BQ2">
        <f>TR(tickers!$B$427:$B$451,"TR.Volume.date;TR.Volume",config!$B$12)</f>
        <v/>
      </c>
      <c r="BU2">
        <f>TR(tickers!$B$452:$B$476,"TR.Volume.date;TR.Volume",config!$B$12)</f>
        <v/>
      </c>
      <c r="BY2">
        <f>TR(tickers!$B$477:$B$501,"TR.Volume.date;TR.Volume",config!$B$12)</f>
        <v/>
      </c>
      <c r="CC2">
        <f>TR(tickers!$B$502:$B$526,"TR.Volume.date;TR.Volume",config!$B$12)</f>
        <v/>
      </c>
      <c r="CG2">
        <f>TR(tickers!$B$527:$B$551,"TR.Volume.date;TR.Volume",config!$B$12)</f>
        <v/>
      </c>
      <c r="CK2">
        <f>TR(tickers!$B$552:$B$576,"TR.Volume.date;TR.Volume",config!$B$12)</f>
        <v/>
      </c>
      <c r="CO2">
        <f>TR(tickers!$B$577:$B$601,"TR.Volume.date;TR.Volume",config!$B$12)</f>
        <v/>
      </c>
      <c r="CS2">
        <f>TR(tickers!$B$602:$B$626,"TR.Volume.date;TR.Volume",config!$B$12)</f>
        <v/>
      </c>
      <c r="CW2">
        <f>TR(tickers!$B$627:$B$651,"TR.Volume.date;TR.Volume",config!$B$12)</f>
        <v/>
      </c>
      <c r="DA2">
        <f>TR(tickers!$B$652:$B$676,"TR.Volume.date;TR.Volume",config!$B$12)</f>
        <v/>
      </c>
      <c r="DE2">
        <f>TR(tickers!$B$677:$B$701,"TR.Volume.date;TR.Volume",config!$B$12)</f>
        <v/>
      </c>
      <c r="DI2">
        <f>TR(tickers!$B$702:$B$726,"TR.Volume.date;TR.Volume",config!$B$12)</f>
        <v/>
      </c>
      <c r="DM2">
        <f>TR(tickers!$B$727:$B$751,"TR.Volume.date;TR.Volume",config!$B$12)</f>
        <v/>
      </c>
      <c r="DQ2">
        <f>TR(tickers!$B$752:$B$776,"TR.Volume.date;TR.Volume",config!$B$12)</f>
        <v/>
      </c>
      <c r="DU2">
        <f>TR(tickers!$B$777:$B$801,"TR.Volume.date;TR.Volume",config!$B$12)</f>
        <v/>
      </c>
      <c r="DY2">
        <f>TR(tickers!$B$802:$B$826,"TR.Volume.date;TR.Volume",config!$B$12)</f>
        <v/>
      </c>
      <c r="EC2">
        <f>TR(tickers!$B$827:$B$851,"TR.Volume.date;TR.Volume",config!$B$12)</f>
        <v/>
      </c>
      <c r="EG2">
        <f>TR(tickers!$B$852:$B$876,"TR.Volume.date;TR.Volume",config!$B$12)</f>
        <v/>
      </c>
      <c r="EK2">
        <f>TR(tickers!$B$877:$B$901,"TR.Volume.date;TR.Volume",config!$B$12)</f>
        <v/>
      </c>
      <c r="EO2">
        <f>TR(tickers!$B$902:$B$926,"TR.Volume.date;TR.Volume",config!$B$12)</f>
        <v/>
      </c>
      <c r="ES2">
        <f>TR(tickers!$B$927:$B$951,"TR.Volume.date;TR.Volume",config!$B$12)</f>
        <v/>
      </c>
      <c r="EW2">
        <f>TR(tickers!$B$952:$B$976,"TR.Volume.date;TR.Volume",config!$B$12)</f>
        <v/>
      </c>
      <c r="FA2">
        <f>TR(tickers!$B$977:$B$1001,"TR.Volume.date;TR.Volume",config!$B$12)</f>
        <v/>
      </c>
      <c r="FE2">
        <f>TR(tickers!$B$1002:$B$1026,"TR.Volume.date;TR.Volume",config!$B$12)</f>
        <v/>
      </c>
      <c r="FI2">
        <f>TR(tickers!$B$1027:$B$1051,"TR.Volume.date;TR.Volume",config!$B$12)</f>
        <v/>
      </c>
      <c r="FM2">
        <f>TR(tickers!$B$1052:$B$1076,"TR.Volume.date;TR.Volume",config!$B$12)</f>
        <v/>
      </c>
      <c r="FQ2">
        <f>TR(tickers!$B$1077:$B$1101,"TR.Volume.date;TR.Volume",config!$B$12)</f>
        <v/>
      </c>
      <c r="FU2">
        <f>TR(tickers!$B$1102:$B$1126,"TR.Volume.date;TR.Volume",config!$B$12)</f>
        <v/>
      </c>
      <c r="FY2">
        <f>TR(tickers!$B$1127:$B$1151,"TR.Volume.date;TR.Volume",config!$B$12)</f>
        <v/>
      </c>
      <c r="GC2">
        <f>TR(tickers!$B$1152:$B$1176,"TR.Volume.date;TR.Volume",config!$B$12)</f>
        <v/>
      </c>
      <c r="GG2">
        <f>TR(tickers!$B$1177:$B$1201,"TR.Volume.date;TR.Volume",config!$B$12)</f>
        <v/>
      </c>
      <c r="GK2">
        <f>TR(tickers!$B$1202:$B$1226,"TR.Volume.date;TR.Volume",config!$B$12)</f>
        <v/>
      </c>
      <c r="GO2">
        <f>TR(tickers!$B$1227:$B$1251,"TR.Volume.date;TR.Volume",config!$B$12)</f>
        <v/>
      </c>
      <c r="GS2">
        <f>TR(tickers!$B$1252:$B$1276,"TR.Volume.date;TR.Volume",config!$B$12)</f>
        <v/>
      </c>
      <c r="GW2">
        <f>TR(tickers!$B$1277:$B$1301,"TR.Volume.date;TR.Volume",config!$B$12)</f>
        <v/>
      </c>
      <c r="HA2">
        <f>TR(tickers!$B$1302:$B$1326,"TR.Volume.date;TR.Volume",config!$B$12)</f>
        <v/>
      </c>
      <c r="HE2">
        <f>TR(tickers!$B$1327:$B$1351,"TR.Volume.date;TR.Volume",config!$B$12)</f>
        <v/>
      </c>
      <c r="HI2">
        <f>TR(tickers!$B$1352:$B$1376,"TR.Volume.date;TR.Volume",config!$B$12)</f>
        <v/>
      </c>
      <c r="HM2">
        <f>TR(tickers!$B$1377:$B$1401,"TR.Volume.date;TR.Volume",config!$B$12)</f>
        <v/>
      </c>
      <c r="HQ2">
        <f>TR(tickers!$B$1402:$B$1426,"TR.Volume.date;TR.Volume",config!$B$12)</f>
        <v/>
      </c>
      <c r="HU2">
        <f>TR(tickers!$B$1427:$B$1451,"TR.Volume.date;TR.Volume",config!$B$12)</f>
        <v/>
      </c>
      <c r="HY2">
        <f>TR(tickers!$B$1452:$B$1476,"TR.Volume.date;TR.Volume",config!$B$12)</f>
        <v/>
      </c>
      <c r="IC2">
        <f>TR(tickers!$B$1477:$B$1501,"TR.Volume.date;TR.Volume",config!$B$12)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2026-10-19T09:34:26Z</dcterms:created>
  <dcterms:modified xmlns:dcterms="http://purl.org/dc/terms/" xmlns:xsi="http://www.w3.org/2001/XMLSchema-instance" xsi:type="dcterms:W3CDTF">2026-10-19T09:34:27Z</dcterms:modified>
</cp:coreProperties>
</file>